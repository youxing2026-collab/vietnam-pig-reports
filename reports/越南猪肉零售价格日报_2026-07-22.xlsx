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bachhoaxanh.com/thit-heo/ba-roi-heo" TargetMode="External" Id="rId1"/><Relationship Type="http://schemas.openxmlformats.org/officeDocument/2006/relationships/hyperlink" Target="https://www.bachhoaxanh.com/thit-heo/ba-roi-heo-rut-suon-cp-khay-300g" TargetMode="External" Id="rId2"/><Relationship Type="http://schemas.openxmlformats.org/officeDocument/2006/relationships/hyperlink" Target="https://www.bachhoaxanh.com/thit-heo/thit-dui-heo-300g" TargetMode="External" Id="rId3"/><Relationship Type="http://schemas.openxmlformats.org/officeDocument/2006/relationships/hyperlink" Target="https://www.bachhoaxanh.com/thit-heo/thit-nac-heo-300g" TargetMode="External" Id="rId4"/><Relationship Type="http://schemas.openxmlformats.org/officeDocument/2006/relationships/hyperlink" Target="https://kingfoodmart.com/thit-heo/nac-dam-heo-meatcool-400g" TargetMode="External" Id="rId5"/><Relationship Type="http://schemas.openxmlformats.org/officeDocument/2006/relationships/hyperlink" Target="https://kingfoodmart.com/thit-heo/nac-dam-heo-baf-khay-300g-1-khay" TargetMode="External" Id="rId6"/><Relationship Type="http://schemas.openxmlformats.org/officeDocument/2006/relationships/hyperlink" Target="https://kingfoodmart.com/thit-heo/cot-let-meatcool-tui-900g" TargetMode="External" Id="rId7"/><Relationship Type="http://schemas.openxmlformats.org/officeDocument/2006/relationships/hyperlink" Target="https://kingfoodmart.com/thit-heo/thit-dui-meatcool-tui-900g" TargetMode="External" Id="rId8"/><Relationship Type="http://schemas.openxmlformats.org/officeDocument/2006/relationships/hyperlink" Target="https://kingfoodmart.com/thit-heo/nac-dam-heo-vinh-tan-khay-200g" TargetMode="External" Id="rId9"/><Relationship Type="http://schemas.openxmlformats.org/officeDocument/2006/relationships/hyperlink" Target="https://kingfoodmart.com/thit-heo/nac-cot-let-cat-vinh-tan-khay-400g-1-khay" TargetMode="External" Id="rId10"/><Relationship Type="http://schemas.openxmlformats.org/officeDocument/2006/relationships/hyperlink" Target="https://kingfoodmart.com/thit-heo/nac-dui-heo-cat-xao-vinh-tan-khay-200g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achhoaxanh.com/thit-heo/ba-roi-heo" TargetMode="External" Id="rId1"/><Relationship Type="http://schemas.openxmlformats.org/officeDocument/2006/relationships/hyperlink" Target="https://kingfoodmart.com/thit-heo/nac-dam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nac-dam-heo-vinh-tan-khay-200g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越南猪肉零售价格日报｜2026-07-22</t>
        </is>
      </c>
    </row>
    <row r="2" ht="34" customHeight="1">
      <c r="A2" s="2" t="inlineStr">
        <is>
          <t>采集时间：越南时间 09:39。所有商品售价均统一折算为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11条在售商品</t>
        </is>
      </c>
      <c r="C5" s="5" t="inlineStr">
        <is>
          <t>渠道：Bách Hóa Xanh、Kingfoodmart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BAF、C.P.、Meatcool、Vĩnh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8组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越南猪肉零售明细｜2026-07-22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Bách Hóa Xanh默认门店（待固定城市）</t>
        </is>
      </c>
      <c r="C5" s="5" t="inlineStr">
        <is>
          <t>Bách Hóa Xanh</t>
        </is>
      </c>
      <c r="D5" s="5" t="inlineStr">
        <is>
          <t>C.P. Vietnam</t>
        </is>
      </c>
      <c r="E5" s="5" t="inlineStr">
        <is>
          <t>C.P.</t>
        </is>
      </c>
      <c r="F5" s="5" t="inlineStr">
        <is>
          <t>五花肉</t>
        </is>
      </c>
      <c r="G5" s="5" t="inlineStr">
        <is>
          <t>Ba rọi heo giá tốt tại Bách hoá XANH</t>
        </is>
      </c>
      <c r="H5" s="5" t="inlineStr">
        <is>
          <t>冷鲜</t>
        </is>
      </c>
      <c r="I5" s="7" t="n">
        <v>300</v>
      </c>
      <c r="J5" s="7" t="n">
        <v>51000</v>
      </c>
      <c r="K5" s="7" t="n">
        <v>170000</v>
      </c>
      <c r="L5" s="7" t="n"/>
      <c r="M5" s="7">
        <f>IF(L5&lt;&gt;"",L5,K5)</f>
        <v/>
      </c>
      <c r="N5" s="5" t="inlineStr">
        <is>
          <t>中：交易页价格有效期为当天，但尚未固定配送门店且原价未展示</t>
        </is>
      </c>
      <c r="O5" s="8" t="inlineStr">
        <is>
          <t>https://www.bachhoaxanh.com/thit-heo/ba-roi-heo</t>
        </is>
      </c>
    </row>
    <row r="6" ht="32" customHeight="1">
      <c r="A6" s="5" t="inlineStr">
        <is>
          <t>南部</t>
        </is>
      </c>
      <c r="B6" s="5" t="inlineStr">
        <is>
          <t>Bách Hóa Xanh默认门店（待固定城市）</t>
        </is>
      </c>
      <c r="C6" s="5" t="inlineStr">
        <is>
          <t>Bách Hóa Xanh</t>
        </is>
      </c>
      <c r="D6" s="5" t="inlineStr">
        <is>
          <t>C.P. Vietnam</t>
        </is>
      </c>
      <c r="E6" s="5" t="inlineStr">
        <is>
          <t>C.P.</t>
        </is>
      </c>
      <c r="F6" s="5" t="inlineStr">
        <is>
          <t>去肋五花肉</t>
        </is>
      </c>
      <c r="G6" s="5" t="inlineStr">
        <is>
          <t>Ba rọi heo rút sườn C.P khay 300g giá tốt tại Bách hoá XANH</t>
        </is>
      </c>
      <c r="H6" s="5" t="inlineStr">
        <is>
          <t>冷鲜</t>
        </is>
      </c>
      <c r="I6" s="7" t="n">
        <v>300</v>
      </c>
      <c r="J6" s="7" t="n">
        <v>80000</v>
      </c>
      <c r="K6" s="7" t="n">
        <v>266667</v>
      </c>
      <c r="L6" s="7" t="n"/>
      <c r="M6" s="7">
        <f>IF(L6&lt;&gt;"",L6,K6)</f>
        <v/>
      </c>
      <c r="N6" s="5" t="inlineStr">
        <is>
          <t>中：交易页价格有效期为当天，但尚未固定配送门店且原价未展示</t>
        </is>
      </c>
      <c r="O6" s="8" t="inlineStr">
        <is>
          <t>https://www.bachhoaxanh.com/thit-heo/ba-roi-heo-rut-suon-cp-khay-300g</t>
        </is>
      </c>
    </row>
    <row r="7" ht="32" customHeight="1">
      <c r="A7" s="5" t="inlineStr">
        <is>
          <t>南部</t>
        </is>
      </c>
      <c r="B7" s="5" t="inlineStr">
        <is>
          <t>Bách Hóa Xanh默认门店（待固定城市）</t>
        </is>
      </c>
      <c r="C7" s="5" t="inlineStr">
        <is>
          <t>Bách Hóa Xanh</t>
        </is>
      </c>
      <c r="D7" s="5" t="inlineStr">
        <is>
          <t>C.P. Vietnam</t>
        </is>
      </c>
      <c r="E7" s="5" t="inlineStr">
        <is>
          <t>C.P.</t>
        </is>
      </c>
      <c r="F7" s="5" t="inlineStr">
        <is>
          <t>后腿肉</t>
        </is>
      </c>
      <c r="G7" s="5" t="inlineStr">
        <is>
          <t>Thịt đùi heo 300g giá tốt tại Bách hoá XANH</t>
        </is>
      </c>
      <c r="H7" s="5" t="inlineStr">
        <is>
          <t>冷鲜</t>
        </is>
      </c>
      <c r="I7" s="7" t="n">
        <v>300</v>
      </c>
      <c r="J7" s="7" t="n">
        <v>39000</v>
      </c>
      <c r="K7" s="7" t="n">
        <v>130000</v>
      </c>
      <c r="L7" s="7" t="n"/>
      <c r="M7" s="7">
        <f>IF(L7&lt;&gt;"",L7,K7)</f>
        <v/>
      </c>
      <c r="N7" s="5" t="inlineStr">
        <is>
          <t>中：交易页价格有效期为当天，但尚未固定配送门店且原价未展示</t>
        </is>
      </c>
      <c r="O7" s="8" t="inlineStr">
        <is>
          <t>https://www.bachhoaxanh.com/thit-heo/thit-dui-heo-300g</t>
        </is>
      </c>
    </row>
    <row r="8" ht="32" customHeight="1">
      <c r="A8" s="5" t="inlineStr">
        <is>
          <t>南部</t>
        </is>
      </c>
      <c r="B8" s="5" t="inlineStr">
        <is>
          <t>Bách Hóa Xanh默认门店（待固定城市）</t>
        </is>
      </c>
      <c r="C8" s="5" t="inlineStr">
        <is>
          <t>Bách Hóa Xanh</t>
        </is>
      </c>
      <c r="D8" s="5" t="inlineStr">
        <is>
          <t>C.P. Vietnam</t>
        </is>
      </c>
      <c r="E8" s="5" t="inlineStr">
        <is>
          <t>C.P.</t>
        </is>
      </c>
      <c r="F8" s="5" t="inlineStr">
        <is>
          <t>猪瘦肉</t>
        </is>
      </c>
      <c r="G8" s="5" t="inlineStr">
        <is>
          <t>Thịt nạc heo tại Bách hoá XANH</t>
        </is>
      </c>
      <c r="H8" s="5" t="inlineStr">
        <is>
          <t>冷鲜</t>
        </is>
      </c>
      <c r="I8" s="7" t="n">
        <v>300</v>
      </c>
      <c r="J8" s="7" t="n">
        <v>42000</v>
      </c>
      <c r="K8" s="7" t="n">
        <v>140000</v>
      </c>
      <c r="L8" s="7" t="n"/>
      <c r="M8" s="7">
        <f>IF(L8&lt;&gt;"",L8,K8)</f>
        <v/>
      </c>
      <c r="N8" s="5" t="inlineStr">
        <is>
          <t>中：交易页价格有效期为当天，但尚未固定配送门店且原价未展示</t>
        </is>
      </c>
      <c r="O8" s="8" t="inlineStr">
        <is>
          <t>https://www.bachhoaxanh.com/thit-heo/thit-nac-heo-300g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梅花肉</t>
        </is>
      </c>
      <c r="G9" s="5" t="inlineStr">
        <is>
          <t>Nạc dăm heo Meatcool 360-440g</t>
        </is>
      </c>
      <c r="H9" s="5" t="inlineStr">
        <is>
          <t>冷鲜</t>
        </is>
      </c>
      <c r="I9" s="7" t="n">
        <v>400</v>
      </c>
      <c r="J9" s="7" t="n">
        <v>90400</v>
      </c>
      <c r="K9" s="7" t="n">
        <v>226000</v>
      </c>
      <c r="L9" s="7" t="n">
        <v>192100</v>
      </c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https://kingfoodmart.com/thit-heo/nac-dam-heo-meatcool-400g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BAF</t>
        </is>
      </c>
      <c r="E10" s="5" t="inlineStr">
        <is>
          <t>BAF</t>
        </is>
      </c>
      <c r="F10" s="5" t="inlineStr">
        <is>
          <t>梅花肉</t>
        </is>
      </c>
      <c r="G10" s="5" t="inlineStr">
        <is>
          <t>Nạc dăm heo BAF khay 300g</t>
        </is>
      </c>
      <c r="H10" s="5" t="inlineStr">
        <is>
          <t>冷鲜</t>
        </is>
      </c>
      <c r="I10" s="7" t="n">
        <v>300</v>
      </c>
      <c r="J10" s="7" t="n">
        <v>74000</v>
      </c>
      <c r="K10" s="7" t="n">
        <v>246667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https://kingfoodmart.com/thit-heo/nac-dam-heo-baf-khay-300g-1-khay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GREENFEED</t>
        </is>
      </c>
      <c r="E11" s="5" t="inlineStr">
        <is>
          <t>Meatcool</t>
        </is>
      </c>
      <c r="F11" s="5" t="inlineStr">
        <is>
          <t>猪排</t>
        </is>
      </c>
      <c r="G11" s="5" t="inlineStr">
        <is>
          <t>Cốt lết Meatcool 9-10 miếng/túi 900g</t>
        </is>
      </c>
      <c r="H11" s="5" t="inlineStr">
        <is>
          <t>冷鲜</t>
        </is>
      </c>
      <c r="I11" s="7" t="n">
        <v>900</v>
      </c>
      <c r="J11" s="7" t="n">
        <v>125000</v>
      </c>
      <c r="K11" s="7" t="n">
        <v>138889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https://kingfoodmart.com/thit-heo/cot-let-meatcool-tui-900g</t>
        </is>
      </c>
    </row>
    <row r="12" ht="32" customHeight="1">
      <c r="A12" s="5" t="inlineStr">
        <is>
          <t>南部</t>
        </is>
      </c>
      <c r="B12" s="5" t="inlineStr">
        <is>
          <t>胡志明市/Kingfoodmart默认门店</t>
        </is>
      </c>
      <c r="C12" s="5" t="inlineStr">
        <is>
          <t>Kingfoodmart</t>
        </is>
      </c>
      <c r="D12" s="5" t="inlineStr">
        <is>
          <t>GREENFEED</t>
        </is>
      </c>
      <c r="E12" s="5" t="inlineStr">
        <is>
          <t>Meatcool</t>
        </is>
      </c>
      <c r="F12" s="5" t="inlineStr">
        <is>
          <t>后腿肉</t>
        </is>
      </c>
      <c r="G12" s="5" t="inlineStr">
        <is>
          <t>Thịt đùi Meatcool túi 900g</t>
        </is>
      </c>
      <c r="H12" s="5" t="inlineStr">
        <is>
          <t>冷鲜</t>
        </is>
      </c>
      <c r="I12" s="7" t="n">
        <v>900</v>
      </c>
      <c r="J12" s="7" t="n">
        <v>125000</v>
      </c>
      <c r="K12" s="7" t="n">
        <v>138889</v>
      </c>
      <c r="L12" s="7" t="n"/>
      <c r="M12" s="7">
        <f>IF(L12&lt;&gt;"",L12,K12)</f>
        <v/>
      </c>
      <c r="N12" s="5" t="inlineStr">
        <is>
          <t>中：交易页含价格/重量/库存，但尚未锁定具体门店</t>
        </is>
      </c>
      <c r="O12" s="8" t="inlineStr">
        <is>
          <t>https://kingfoodmart.com/thit-heo/thit-dui-meatcool-tui-900g</t>
        </is>
      </c>
    </row>
    <row r="13" ht="32" customHeight="1">
      <c r="A13" s="5" t="inlineStr">
        <is>
          <t>南部</t>
        </is>
      </c>
      <c r="B13" s="5" t="inlineStr">
        <is>
          <t>胡志明市/Kingfoodmart默认门店</t>
        </is>
      </c>
      <c r="C13" s="5" t="inlineStr">
        <is>
          <t>Kingfoodmart</t>
        </is>
      </c>
      <c r="D13" s="5" t="inlineStr">
        <is>
          <t>Vĩnh Tân</t>
        </is>
      </c>
      <c r="E13" s="5" t="inlineStr">
        <is>
          <t>Vĩnh Tân</t>
        </is>
      </c>
      <c r="F13" s="5" t="inlineStr">
        <is>
          <t>梅花肉</t>
        </is>
      </c>
      <c r="G13" s="5" t="inlineStr">
        <is>
          <t>Nạc dăm heo Vĩnh Tân khay 200g</t>
        </is>
      </c>
      <c r="H13" s="5" t="inlineStr">
        <is>
          <t>冷鲜</t>
        </is>
      </c>
      <c r="I13" s="7" t="n">
        <v>200</v>
      </c>
      <c r="J13" s="7" t="n">
        <v>37000</v>
      </c>
      <c r="K13" s="7" t="n">
        <v>185000</v>
      </c>
      <c r="L13" s="7" t="n"/>
      <c r="M13" s="7">
        <f>IF(L13&lt;&gt;"",L13,K13)</f>
        <v/>
      </c>
      <c r="N13" s="5" t="inlineStr">
        <is>
          <t>中：交易页含价格/重量/库存，但尚未锁定具体门店</t>
        </is>
      </c>
      <c r="O13" s="8" t="inlineStr">
        <is>
          <t>https://kingfoodmart.com/thit-heo/nac-dam-heo-vinh-tan-khay-200g</t>
        </is>
      </c>
    </row>
    <row r="14" ht="32" customHeight="1">
      <c r="A14" s="5" t="inlineStr">
        <is>
          <t>南部</t>
        </is>
      </c>
      <c r="B14" s="5" t="inlineStr">
        <is>
          <t>胡志明市/Kingfoodmart默认门店</t>
        </is>
      </c>
      <c r="C14" s="5" t="inlineStr">
        <is>
          <t>Kingfoodmart</t>
        </is>
      </c>
      <c r="D14" s="5" t="inlineStr">
        <is>
          <t>Vĩnh Tân</t>
        </is>
      </c>
      <c r="E14" s="5" t="inlineStr">
        <is>
          <t>Vĩnh Tân</t>
        </is>
      </c>
      <c r="F14" s="5" t="inlineStr">
        <is>
          <t>猪排</t>
        </is>
      </c>
      <c r="G14" s="5" t="inlineStr">
        <is>
          <t>Nạc cốt lết cắt Vĩnh Tân khay 400g</t>
        </is>
      </c>
      <c r="H14" s="5" t="inlineStr">
        <is>
          <t>冷鲜</t>
        </is>
      </c>
      <c r="I14" s="7" t="n">
        <v>400</v>
      </c>
      <c r="J14" s="7" t="n">
        <v>79000</v>
      </c>
      <c r="K14" s="7" t="n">
        <v>197500</v>
      </c>
      <c r="L14" s="7" t="n"/>
      <c r="M14" s="7">
        <f>IF(L14&lt;&gt;"",L14,K14)</f>
        <v/>
      </c>
      <c r="N14" s="5" t="inlineStr">
        <is>
          <t>中：交易页含价格/重量/库存，但尚未锁定具体门店</t>
        </is>
      </c>
      <c r="O14" s="8" t="inlineStr">
        <is>
          <t>https://kingfoodmart.com/thit-heo/nac-cot-let-cat-vinh-tan-khay-400g-1-khay</t>
        </is>
      </c>
    </row>
    <row r="15" ht="32" customHeight="1">
      <c r="A15" s="5" t="inlineStr">
        <is>
          <t>南部</t>
        </is>
      </c>
      <c r="B15" s="5" t="inlineStr">
        <is>
          <t>胡志明市/Kingfoodmart默认门店</t>
        </is>
      </c>
      <c r="C15" s="5" t="inlineStr">
        <is>
          <t>Kingfoodmart</t>
        </is>
      </c>
      <c r="D15" s="5" t="inlineStr">
        <is>
          <t>Vĩnh Tân</t>
        </is>
      </c>
      <c r="E15" s="5" t="inlineStr">
        <is>
          <t>Vĩnh Tân</t>
        </is>
      </c>
      <c r="F15" s="5" t="inlineStr">
        <is>
          <t>后腿肉</t>
        </is>
      </c>
      <c r="G15" s="5" t="inlineStr">
        <is>
          <t>Nạc đùi heo cắt xào Vĩnh Tân khay 200g</t>
        </is>
      </c>
      <c r="H15" s="5" t="inlineStr">
        <is>
          <t>冷鲜</t>
        </is>
      </c>
      <c r="I15" s="7" t="n">
        <v>200</v>
      </c>
      <c r="J15" s="7" t="n">
        <v>33000</v>
      </c>
      <c r="K15" s="7" t="n">
        <v>165000</v>
      </c>
      <c r="L15" s="7" t="n"/>
      <c r="M15" s="7">
        <f>IF(L15&lt;&gt;"",L15,K15)</f>
        <v/>
      </c>
      <c r="N15" s="5" t="inlineStr">
        <is>
          <t>中：交易页含价格/重量/库存，但尚未锁定具体门店</t>
        </is>
      </c>
      <c r="O15" s="8" t="inlineStr">
        <is>
          <t>https://kingfoodmart.com/thit-heo/nac-dui-heo-cat-xao-vinh-tan-khay-200g</t>
        </is>
      </c>
    </row>
  </sheetData>
  <mergeCells count="2">
    <mergeCell ref="A1:O1"/>
    <mergeCell ref="A2:O2"/>
  </mergeCells>
  <conditionalFormatting sqref="M5:M15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2026年7月同口径月度变化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Bách Hóa Xanh</t>
        </is>
      </c>
      <c r="B6" s="5" t="inlineStr">
        <is>
          <t>C.P.</t>
        </is>
      </c>
      <c r="C6" s="5" t="inlineStr">
        <is>
          <t>五花肉</t>
        </is>
      </c>
      <c r="D6" s="5" t="inlineStr">
        <is>
          <t>Bách Hóa Xanh默认门店（待固定城市）</t>
        </is>
      </c>
      <c r="E6" s="7" t="n">
        <v>2</v>
      </c>
      <c r="F6" s="7" t="n">
        <v>159000</v>
      </c>
      <c r="G6" s="7" t="n">
        <v>170000</v>
      </c>
      <c r="H6" s="7" t="n">
        <v>164500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Bách Hóa Xanh</t>
        </is>
      </c>
      <c r="B7" s="5" t="inlineStr">
        <is>
          <t>C.P.</t>
        </is>
      </c>
      <c r="C7" s="5" t="inlineStr">
        <is>
          <t>去肋五花肉</t>
        </is>
      </c>
      <c r="D7" s="5" t="inlineStr">
        <is>
          <t>Bách Hóa Xanh默认门店（待固定城市）</t>
        </is>
      </c>
      <c r="E7" s="7" t="n">
        <v>2</v>
      </c>
      <c r="F7" s="7" t="n">
        <v>266667</v>
      </c>
      <c r="G7" s="7" t="n">
        <v>266667</v>
      </c>
      <c r="H7" s="7" t="n">
        <v>266667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Bách Hóa Xanh</t>
        </is>
      </c>
      <c r="B8" s="5" t="inlineStr">
        <is>
          <t>C.P.</t>
        </is>
      </c>
      <c r="C8" s="5" t="inlineStr">
        <is>
          <t>后腿肉</t>
        </is>
      </c>
      <c r="D8" s="5" t="inlineStr">
        <is>
          <t>Bách Hóa Xanh默认门店（待固定城市）</t>
        </is>
      </c>
      <c r="E8" s="7" t="n">
        <v>2</v>
      </c>
      <c r="F8" s="7" t="n">
        <v>109000</v>
      </c>
      <c r="G8" s="7" t="n">
        <v>130000</v>
      </c>
      <c r="H8" s="7" t="n">
        <v>119500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Bách Hóa Xanh</t>
        </is>
      </c>
      <c r="B9" s="5" t="inlineStr">
        <is>
          <t>C.P.</t>
        </is>
      </c>
      <c r="C9" s="5" t="inlineStr">
        <is>
          <t>猪瘦肉</t>
        </is>
      </c>
      <c r="D9" s="5" t="inlineStr">
        <is>
          <t>Bách Hóa Xanh默认门店（待固定城市）</t>
        </is>
      </c>
      <c r="E9" s="7" t="n">
        <v>2</v>
      </c>
      <c r="F9" s="7" t="n">
        <v>132000</v>
      </c>
      <c r="G9" s="7" t="n">
        <v>140000</v>
      </c>
      <c r="H9" s="7" t="n">
        <v>136000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WinMart</t>
        </is>
      </c>
      <c r="B10" s="5" t="inlineStr">
        <is>
          <t>MEATDeli</t>
        </is>
      </c>
      <c r="C10" s="5" t="inlineStr">
        <is>
          <t>五花肉</t>
        </is>
      </c>
      <c r="D10" s="5" t="inlineStr">
        <is>
          <t>WinMart默认门店（待固定城市）</t>
        </is>
      </c>
      <c r="E10" s="7" t="n">
        <v>1</v>
      </c>
      <c r="F10" s="7" t="n">
        <v>199900</v>
      </c>
      <c r="G10" s="7" t="n">
        <v>199900</v>
      </c>
      <c r="H10" s="7" t="n">
        <v>199900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WinMart</t>
        </is>
      </c>
      <c r="B11" s="5" t="inlineStr">
        <is>
          <t>MEATDeli</t>
        </is>
      </c>
      <c r="C11" s="5" t="inlineStr">
        <is>
          <t>小排</t>
        </is>
      </c>
      <c r="D11" s="5" t="inlineStr">
        <is>
          <t>WinMart默认门店（待固定城市）</t>
        </is>
      </c>
      <c r="E11" s="7" t="n">
        <v>1</v>
      </c>
      <c r="F11" s="7" t="n">
        <v>287900</v>
      </c>
      <c r="G11" s="7" t="n">
        <v>287900</v>
      </c>
      <c r="H11" s="7" t="n">
        <v>287900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WinMart</t>
        </is>
      </c>
      <c r="B12" s="5" t="inlineStr">
        <is>
          <t>MEATDeli</t>
        </is>
      </c>
      <c r="C12" s="5" t="inlineStr">
        <is>
          <t>梅花肉</t>
        </is>
      </c>
      <c r="D12" s="5" t="inlineStr">
        <is>
          <t>WinMart默认门店（待固定城市）</t>
        </is>
      </c>
      <c r="E12" s="7" t="n">
        <v>1</v>
      </c>
      <c r="F12" s="7" t="n">
        <v>204900</v>
      </c>
      <c r="G12" s="7" t="n">
        <v>204900</v>
      </c>
      <c r="H12" s="7" t="n">
        <v>204900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WinMart</t>
        </is>
      </c>
      <c r="B13" s="5" t="inlineStr">
        <is>
          <t>MEATDeli</t>
        </is>
      </c>
      <c r="C13" s="5" t="inlineStr">
        <is>
          <t>肩肉</t>
        </is>
      </c>
      <c r="D13" s="5" t="inlineStr">
        <is>
          <t>WinMart默认门店（待固定城市）</t>
        </is>
      </c>
      <c r="E13" s="7" t="n">
        <v>1</v>
      </c>
      <c r="F13" s="7" t="n">
        <v>168900</v>
      </c>
      <c r="G13" s="7" t="n">
        <v>168900</v>
      </c>
      <c r="H13" s="7" t="n">
        <v>168900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Meatcool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2</v>
      </c>
      <c r="F14" s="7" t="n">
        <v>138889</v>
      </c>
      <c r="G14" s="7" t="n">
        <v>138889</v>
      </c>
      <c r="H14" s="7" t="n">
        <v>138889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Meatcool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2</v>
      </c>
      <c r="F15" s="7" t="n">
        <v>226000</v>
      </c>
      <c r="G15" s="7" t="n">
        <v>192100</v>
      </c>
      <c r="H15" s="7" t="n">
        <v>209050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Meatcool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2</v>
      </c>
      <c r="F16" s="7" t="n">
        <v>138889</v>
      </c>
      <c r="G16" s="7" t="n">
        <v>138889</v>
      </c>
      <c r="H16" s="7" t="n">
        <v>138889</v>
      </c>
      <c r="I16" s="9">
        <f>IF(E16&lt;2,"",G16/F16-1)</f>
        <v/>
      </c>
      <c r="J16" s="5">
        <f>IF(E16&lt;2,"积累中",IF(I16&gt;=0.01,"上涨",IF(I16&lt;=-0.01,"下降","平稳")))</f>
        <v/>
      </c>
    </row>
    <row r="17" ht="30" customHeight="1">
      <c r="A17" s="5" t="inlineStr">
        <is>
          <t>Kingfoodmart</t>
        </is>
      </c>
      <c r="B17" s="5" t="inlineStr">
        <is>
          <t>Vĩnh Tân</t>
        </is>
      </c>
      <c r="C17" s="5" t="inlineStr">
        <is>
          <t>后腿肉</t>
        </is>
      </c>
      <c r="D17" s="5" t="inlineStr">
        <is>
          <t>胡志明市/Kingfoodmart默认门店</t>
        </is>
      </c>
      <c r="E17" s="7" t="n">
        <v>1</v>
      </c>
      <c r="F17" s="7" t="n">
        <v>165000</v>
      </c>
      <c r="G17" s="7" t="n">
        <v>165000</v>
      </c>
      <c r="H17" s="7" t="n">
        <v>165000</v>
      </c>
      <c r="I17" s="9">
        <f>IF(E17&lt;2,"",G17/F17-1)</f>
        <v/>
      </c>
      <c r="J17" s="5">
        <f>IF(E17&lt;2,"积累中",IF(I17&gt;=0.01,"上涨",IF(I17&lt;=-0.01,"下降","平稳")))</f>
        <v/>
      </c>
    </row>
    <row r="18" ht="30" customHeight="1">
      <c r="A18" s="5" t="inlineStr">
        <is>
          <t>Kingfoodmart</t>
        </is>
      </c>
      <c r="B18" s="5" t="inlineStr">
        <is>
          <t>Vĩnh Tân</t>
        </is>
      </c>
      <c r="C18" s="5" t="inlineStr">
        <is>
          <t>梅花肉</t>
        </is>
      </c>
      <c r="D18" s="5" t="inlineStr">
        <is>
          <t>胡志明市/Kingfoodmart默认门店</t>
        </is>
      </c>
      <c r="E18" s="7" t="n">
        <v>1</v>
      </c>
      <c r="F18" s="7" t="n">
        <v>185000</v>
      </c>
      <c r="G18" s="7" t="n">
        <v>185000</v>
      </c>
      <c r="H18" s="7" t="n">
        <v>185000</v>
      </c>
      <c r="I18" s="9">
        <f>IF(E18&lt;2,"",G18/F18-1)</f>
        <v/>
      </c>
      <c r="J18" s="5">
        <f>IF(E18&lt;2,"积累中",IF(I18&gt;=0.01,"上涨",IF(I18&lt;=-0.01,"下降","平稳")))</f>
        <v/>
      </c>
    </row>
    <row r="19" ht="30" customHeight="1">
      <c r="A19" s="5" t="inlineStr">
        <is>
          <t>Kingfoodmart</t>
        </is>
      </c>
      <c r="B19" s="5" t="inlineStr">
        <is>
          <t>Vĩnh Tân</t>
        </is>
      </c>
      <c r="C19" s="5" t="inlineStr">
        <is>
          <t>猪排</t>
        </is>
      </c>
      <c r="D19" s="5" t="inlineStr">
        <is>
          <t>胡志明市/Kingfoodmart默认门店</t>
        </is>
      </c>
      <c r="E19" s="7" t="n">
        <v>2</v>
      </c>
      <c r="F19" s="7" t="n">
        <v>197500</v>
      </c>
      <c r="G19" s="7" t="n">
        <v>197500</v>
      </c>
      <c r="H19" s="7" t="n">
        <v>197500</v>
      </c>
      <c r="I19" s="9">
        <f>IF(E19&lt;2,"",G19/F19-1)</f>
        <v/>
      </c>
      <c r="J19" s="5">
        <f>IF(E19&lt;2,"积累中",IF(I19&gt;=0.01,"上涨",IF(I19&lt;=-0.01,"下降","平稳")))</f>
        <v/>
      </c>
    </row>
  </sheetData>
  <mergeCells count="2">
    <mergeCell ref="A1:J1"/>
    <mergeCell ref="A2:J2"/>
  </mergeCells>
  <conditionalFormatting sqref="I5:I19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Bách Hóa Xanh</t>
        </is>
      </c>
      <c r="B5" s="5" t="inlineStr">
        <is>
          <t>C.P. Vietnam / C.P.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中：交易页价格有效期为当天，但尚未固定配送门店且原价未展示</t>
        </is>
      </c>
      <c r="F5" s="8" t="inlineStr">
        <is>
          <t>https://www.bachhoaxanh.com/thit-heo/ba-roi-heo</t>
        </is>
      </c>
    </row>
    <row r="6" ht="58" customHeight="1">
      <c r="A6" s="5" t="inlineStr">
        <is>
          <t>Kingfoodmart</t>
        </is>
      </c>
      <c r="B6" s="5" t="inlineStr">
        <is>
          <t>GREENFEED / Meatcool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https://kingfoodmart.com/thit-heo/nac-dam-heo-meatcool-400g</t>
        </is>
      </c>
    </row>
    <row r="7" ht="58" customHeight="1">
      <c r="A7" s="5" t="inlineStr">
        <is>
          <t>Kingfoodmart</t>
        </is>
      </c>
      <c r="B7" s="5" t="inlineStr">
        <is>
          <t>BAF / BAF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https://kingfoodmart.com/thit-heo/nac-dam-heo-baf-khay-300g-1-khay</t>
        </is>
      </c>
    </row>
    <row r="8" ht="58" customHeight="1">
      <c r="A8" s="5" t="inlineStr">
        <is>
          <t>Kingfoodmart</t>
        </is>
      </c>
      <c r="B8" s="5" t="inlineStr">
        <is>
          <t>Vĩnh Tân / Vĩnh Tân</t>
        </is>
      </c>
      <c r="C8" s="5" t="inlineStr">
        <is>
          <t>A-零售交易页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中：交易页含价格/重量/库存，但尚未锁定具体门店</t>
        </is>
      </c>
      <c r="F8" s="8" t="inlineStr">
        <is>
          <t>https://kingfoodmart.com/thit-heo/nac-dam-heo-vinh-tan-khay-200g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2026-07-22T02:39:19Z</dcterms:created>
  <dcterms:modified xmlns:dcterms="http://purl.org/dc/terms/" xmlns:xsi="http://www.w3.org/2001/XMLSchema-instance" xsi:type="dcterms:W3CDTF">2026-07-22T02:39:19Z</dcterms:modified>
</cp:coreProperties>
</file>