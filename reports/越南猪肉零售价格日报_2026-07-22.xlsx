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2539e8da2245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51c5750334b242e2"/>
    <x:sheet xmlns:r="http://schemas.openxmlformats.org/officeDocument/2006/relationships" name="今日价格表" sheetId="2" r:id="Rfa00227b89d946ed"/>
    <x:sheet xmlns:r="http://schemas.openxmlformats.org/officeDocument/2006/relationships" name="月度趋势" sheetId="3" r:id="R2d2442b2c229442d"/>
    <x:sheet xmlns:r="http://schemas.openxmlformats.org/officeDocument/2006/relationships" name="来源与口径" sheetId="4" r:id="R917929894d9d4d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%"/>
  </x:numFmts>
  <x:fonts count="10">
    <x:font>
      <x:sz val="11"/>
      <x:name val="Carlito"/>
    </x:font>
    <x:font>
      <x:b/>
      <x:sz val="16"/>
      <x:color rgb="FFFFFFFF"/>
      <x:name val="Aptos Display"/>
    </x:font>
    <x:font>
      <x:i/>
      <x:sz val="11"/>
      <x:color rgb="FF3D4B57"/>
      <x:name val="Carlito"/>
    </x:font>
    <x:font>
      <x:b/>
      <x:sz val="11"/>
      <x:color rgb="FFFFFFFF"/>
      <x:name val="Carlito"/>
    </x:font>
    <x:font>
      <x:b/>
      <x:sz val="11"/>
      <x:color rgb="FF123047"/>
      <x:name val="Carlito"/>
    </x:font>
    <x:font>
      <x:i/>
      <x:sz val="11"/>
      <x:color rgb="FF6B4C00"/>
      <x:name val="Carlito"/>
    </x:font>
    <x:font>
      <x:sz val="11"/>
      <x:color rgb="FF0563C1"/>
      <x:name val="Carlito"/>
    </x:font>
    <x:font>
      <x:b/>
      <x:sz val="10"/>
      <x:color rgb="FF1F2933"/>
      <x:name val="Aptos"/>
    </x:font>
    <x:font>
      <x:i/>
      <x:sz val="10"/>
      <x:color rgb="FF1F2933"/>
      <x:name val="Aptos"/>
    </x:font>
    <x:font>
      <x:sz val="10"/>
      <x:color rgb="FF1F2933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0F4"/>
      </x:patternFill>
    </x:fill>
    <x:fill>
      <x:patternFill patternType="solid">
        <x:fgColor rgb="FF0F5B66"/>
      </x:patternFill>
    </x:fill>
    <x:fill>
      <x:patternFill patternType="solid">
        <x:fgColor rgb="FFDCEAF0"/>
      </x:patternFill>
    </x:fill>
    <x:fill>
      <x:patternFill patternType="solid">
        <x:fgColor rgb="FFE6F3F3"/>
      </x:patternFill>
    </x:fill>
    <x:fill>
      <x:patternFill patternType="solid">
        <x:fgColor rgb="FFFFF4CC"/>
      </x:patternFill>
    </x:fill>
  </x:fills>
  <x:borders count="2">
    <x:border/>
    <x:border>
      <x:left style="thin">
        <x:color rgb="FFD7DEE4"/>
      </x:left>
      <x:right style="thin">
        <x:color rgb="FFD7DEE4"/>
      </x:right>
      <x:top style="thin">
        <x:color rgb="FFD7DEE4"/>
      </x:top>
      <x:bottom style="thin">
        <x:color rgb="FFD7DEE4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horizontal="center"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7" fillId="4" borderId="0" xfId="0" applyNumberFormat="1" applyFont="1" applyFill="1" applyBorder="1" applyAlignment="1">
      <x:alignment vertical="center"/>
    </x:xf>
    <x:xf numFmtId="0" fontId="7" fillId="5" borderId="1" xfId="0" applyNumberFormat="1" applyFont="1" applyFill="1" applyBorder="1" applyAlignment="1">
      <x:alignment horizontal="center" vertical="center" wrapText="1"/>
    </x:xf>
    <x:xf numFmtId="0" fontId="7" fillId="6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horizontal="center" vertical="top" wrapText="1"/>
    </x:xf>
    <x:xf numFmtId="200" fontId="9" fillId="0" borderId="1" xfId="0" applyNumberFormat="1" applyFont="1" applyFill="1" applyBorder="1" applyAlignment="1">
      <x:alignment vertical="top" wrapText="1"/>
    </x:xf>
    <x:xf numFmtId="201" fontId="9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5">
    <x:dxf>
      <x:font>
        <x:color rgb="FF1B5E20"/>
      </x:font>
      <x:fill>
        <x:patternFill patternType="solid">
          <x:bgColor rgb="FFE8F5E9"/>
        </x:patternFill>
      </x:fill>
    </x:dxf>
    <x:dxf>
      <x:font>
        <x:color rgb="FF806000"/>
      </x:font>
      <x:fill>
        <x:patternFill patternType="solid">
          <x:bgColor rgb="FFFFF9E6"/>
        </x:patternFill>
      </x:fill>
    </x:dxf>
    <x:dxf>
      <x:font>
        <x:color rgb="FFA61B1B"/>
      </x:font>
      <x:fill>
        <x:patternFill patternType="solid">
          <x:bgColor rgb="FFFDE8E7"/>
        </x:patternFill>
      </x:fill>
    </x:dxf>
    <x:dxf>
      <x:font>
        <x:color rgb="FFA61B1B"/>
      </x:font>
      <x:fill>
        <x:patternFill patternType="solid">
          <x:bgColor rgb="FFFDE8E7"/>
        </x:patternFill>
      </x:fill>
    </x:dxf>
    <x:dxf>
      <x:font>
        <x:color rgb="FF1B5E20"/>
      </x:font>
      <x:fill>
        <x:patternFill patternType="solid">
          <x:bgColor rgb="FFE8F5E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596939ccb046fe" /><Relationship Type="http://schemas.openxmlformats.org/officeDocument/2006/relationships/theme" Target="/xl/theme/theme1.xml" Id="Rd8c582169ea24c19" /><Relationship Type="http://schemas.openxmlformats.org/officeDocument/2006/relationships/sharedStrings" Target="/xl/sharedStrings.xml" Id="Rebbee00100e14b1c" /><Relationship Type="http://schemas.openxmlformats.org/officeDocument/2006/relationships/worksheet" Target="/xl/worksheets/sheet1.xml" Id="R51c5750334b242e2" /><Relationship Type="http://schemas.openxmlformats.org/officeDocument/2006/relationships/worksheet" Target="/xl/worksheets/sheet2.xml" Id="Rfa00227b89d946ed" /><Relationship Type="http://schemas.openxmlformats.org/officeDocument/2006/relationships/worksheet" Target="/xl/worksheets/sheet3.xml" Id="R2d2442b2c229442d" /><Relationship Type="http://schemas.openxmlformats.org/officeDocument/2006/relationships/worksheet" Target="/xl/worksheets/sheet4.xml" Id="R917929894d9d4d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36" hidden="0" customWidth="1"/>
    <x:col min="4" max="4" width="48" hidden="0" customWidth="1"/>
  </x:cols>
  <x:sheetData>
    <x:row r="1" ht="30" customHeight="1">
      <x:c r="A1" s="42" t="str">
        <x:v>越南猪肉零售价格日报｜2026-07-22</x:v>
      </x:c>
      <x:c r="B1" s="42"/>
      <x:c r="C1" s="42"/>
      <x:c r="D1" s="42"/>
      <x:c r="E1" s="42"/>
      <x:c r="F1" s="42"/>
      <x:c r="G1" s="42"/>
      <x:c r="H1" s="42"/>
    </x:row>
    <x:row r="2" ht="34" customHeight="1">
      <x:c r="A2" s="32" t="str">
        <x:v>采集时间：越南时间09:26。所有商品售价均按包装重量折算为 VND/kg；常规价与促销价分列保存。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34" t="str">
        <x:v>今日结论</x:v>
      </x:c>
      <x:c r="B4" s="34"/>
      <x:c r="C4" s="34"/>
      <x:c r="D4" s="34"/>
      <x:c r="E4" s="34"/>
      <x:c r="F4" s="34"/>
      <x:c r="G4" s="34"/>
      <x:c r="H4" s="34"/>
    </x:row>
    <x:row r="5">
      <x:c r="A5" s="35" t="str">
        <x:v>项目</x:v>
      </x:c>
      <x:c r="B5" s="35" t="str">
        <x:v>结果</x:v>
      </x:c>
      <x:c r="C5" s="35" t="str">
        <x:v>范围</x:v>
      </x:c>
      <x:c r="D5" s="35" t="str">
        <x:v>解释</x:v>
      </x:c>
      <x:c r="E5" s="33"/>
      <x:c r="F5" s="33"/>
      <x:c r="G5" s="33"/>
      <x:c r="H5" s="33"/>
    </x:row>
    <x:row r="6" ht="42" customHeight="1">
      <x:c r="A6" s="36" t="str">
        <x:v>品牌</x:v>
      </x:c>
      <x:c r="B6" s="37" t="str">
        <x:v>4个</x:v>
      </x:c>
      <x:c r="C6" s="37" t="str">
        <x:v>C.P.、Meatcool、BAF、Vĩnh Tân</x:v>
      </x:c>
      <x:c r="D6" s="37" t="str">
        <x:v>品牌与平台/来源分开记录。</x:v>
      </x:c>
      <x:c r="E6" s="33"/>
      <x:c r="F6" s="33"/>
      <x:c r="G6" s="33"/>
      <x:c r="H6" s="33"/>
    </x:row>
    <x:row r="7" ht="42" customHeight="1">
      <x:c r="A7" s="36" t="str">
        <x:v>可比趋势</x:v>
      </x:c>
      <x:c r="B7" s="37" t="str">
        <x:v>8组</x:v>
      </x:c>
      <x:c r="C7" s="37" t="str">
        <x:v>同一渠道×品牌×部位×门店口径</x:v>
      </x:c>
      <x:c r="D7" s="37" t="str">
        <x:v>至少两日数据才计算月度变化。</x:v>
      </x:c>
      <x:c r="E7" s="33"/>
      <x:c r="F7" s="33"/>
      <x:c r="G7" s="33"/>
      <x:c r="H7" s="33"/>
    </x:row>
    <x:row r="8" ht="42" customHeight="1">
      <x:c r="A8" s="36" t="str">
        <x:v>数据限制</x:v>
      </x:c>
      <x:c r="B8" s="37" t="str">
        <x:v>配送门店未固定</x:v>
      </x:c>
      <x:c r="C8" s="37" t="str">
        <x:v>当前默认门店不用于地区横向结论</x:v>
      </x:c>
      <x:c r="D8" s="37" t="str">
        <x:v>促销价以实际购买价计；未展示原价则仅标当前价。</x:v>
      </x:c>
      <x:c r="E8" s="33"/>
      <x:c r="F8" s="33"/>
      <x:c r="G8" s="33"/>
      <x:c r="H8" s="33"/>
    </x:row>
    <x:row r="9">
      <x:c r="A9" s="33"/>
      <x:c r="B9" s="33"/>
      <x:c r="C9" s="33"/>
      <x:c r="D9" s="33"/>
      <x:c r="E9" s="33"/>
      <x:c r="F9" s="33"/>
      <x:c r="G9" s="33"/>
      <x:c r="H9" s="33"/>
    </x:row>
    <x:row r="10">
      <x:c r="A10" s="34" t="str">
        <x:v>如何阅读</x:v>
      </x:c>
      <x:c r="B10" s="34"/>
      <x:c r="C10" s="34"/>
      <x:c r="D10" s="34"/>
      <x:c r="E10" s="34"/>
      <x:c r="F10" s="34"/>
      <x:c r="G10" s="34"/>
      <x:c r="H10" s="34"/>
    </x:row>
    <x:row r="11">
      <x:c r="A11" s="38" t="str">
        <x:v>先在“今日价格表”查看商品级价格、包装规格、常规价与促销价；再在“月度趋势”只比较相同渠道、品牌、部位和门店口径。绿色表示下降、红色表示上涨、黄色表示样本不足。价格为终端零售价格，不可与活猪、白条或批发价直接比较。</x:v>
      </x:c>
      <x:c r="B11" s="38"/>
      <x:c r="C11" s="38"/>
      <x:c r="D11" s="38"/>
      <x:c r="E11" s="38"/>
      <x:c r="F11" s="38"/>
      <x:c r="G11" s="38"/>
      <x:c r="H11" s="38"/>
    </x:row>
    <x:row r="12">
      <x:c r="A12" s="38"/>
      <x:c r="B12" s="38"/>
      <x:c r="C12" s="38"/>
      <x:c r="D12" s="38"/>
      <x:c r="E12" s="38"/>
      <x:c r="F12" s="38"/>
      <x:c r="G12" s="38"/>
      <x:c r="H12" s="38"/>
    </x:row>
    <x:row r="13">
      <x:c r="A13" s="38"/>
      <x:c r="B13" s="38"/>
      <x:c r="C13" s="38"/>
      <x:c r="D13" s="38"/>
      <x:c r="E13" s="38"/>
      <x:c r="F13" s="38"/>
      <x:c r="G13" s="38"/>
      <x:c r="H13" s="38"/>
    </x:row>
    <x:row r="14">
      <x:c r="A14" s="38"/>
      <x:c r="B14" s="38"/>
      <x:c r="C14" s="38"/>
      <x:c r="D14" s="38"/>
      <x:c r="E14" s="38"/>
      <x:c r="F14" s="38"/>
      <x:c r="G14" s="38"/>
      <x:c r="H14" s="38"/>
    </x:row>
  </x:sheetData>
  <x:mergeCells>
    <x:mergeCell ref="A1:H1"/>
    <x:mergeCell ref="A2:H2"/>
    <x:mergeCell ref="A4:H4"/>
    <x:mergeCell ref="A10:H10"/>
    <x:mergeCell ref="A11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2" hidden="0" customWidth="1"/>
    <x:col min="3" max="3" width="18" hidden="0" customWidth="1"/>
    <x:col min="4" max="4" width="18" hidden="0" customWidth="1"/>
    <x:col min="5" max="5" width="15" hidden="0" customWidth="1"/>
    <x:col min="6" max="6" width="16" hidden="0" customWidth="1"/>
    <x:col min="7" max="7" width="44" hidden="0" customWidth="1"/>
    <x:col min="8" max="8" width="12" hidden="0" customWidth="1"/>
    <x:col min="9" max="9" width="14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44" hidden="0" customWidth="1"/>
  </x:cols>
  <x:sheetData>
    <x:row r="1" ht="30" customHeight="1">
      <x:c r="A1" s="42" t="str">
        <x:v>越南猪肉零售明细｜2026-07-22</x:v>
      </x:c>
      <x:c r="B1" s="42"/>
      <x:c r="C1" s="42"/>
      <x:c r="D1" s="42"/>
      <x:c r="E1" s="42"/>
      <x:c r="F1" s="42"/>
      <x:c r="G1" s="42"/>
      <x:c r="H1" s="42"/>
      <x:c r="I1" s="42"/>
      <x:c r="J1" s="42"/>
      <x:c r="K1" s="42"/>
      <x:c r="L1" s="42"/>
      <x:c r="M1" s="42"/>
      <x:c r="N1" s="42"/>
    </x:row>
    <x:row r="2" ht="34" customHeight="1">
      <x:c r="A2" s="32" t="str">
        <x:v>单位：VND/kg。售价列用促销价（如有）优先；每一行均保留商品原文、规格、门店口径和来源链接。</x:v>
      </x:c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</x:row>
    <x:row r="4">
      <x:c r="A4" s="39" t="str">
        <x:v>地区</x:v>
      </x:c>
      <x:c r="B4" s="39" t="str">
        <x:v>城市/门店口径</x:v>
      </x:c>
      <x:c r="C4" s="39" t="str">
        <x:v>渠道</x:v>
      </x:c>
      <x:c r="D4" s="39" t="str">
        <x:v>企业</x:v>
      </x:c>
      <x:c r="E4" s="39" t="str">
        <x:v>品牌</x:v>
      </x:c>
      <x:c r="F4" s="39" t="str">
        <x:v>中文部位</x:v>
      </x:c>
      <x:c r="G4" s="39" t="str">
        <x:v>越南语商品名</x:v>
      </x:c>
      <x:c r="H4" s="39" t="str">
        <x:v>状态</x:v>
      </x:c>
      <x:c r="I4" s="39" t="str">
        <x:v>包装重量(g)</x:v>
      </x:c>
      <x:c r="J4" s="39" t="str">
        <x:v>包装售价(VND)</x:v>
      </x:c>
      <x:c r="K4" s="39" t="str">
        <x:v>常规价/kg</x:v>
      </x:c>
      <x:c r="L4" s="39" t="str">
        <x:v>促销价/kg</x:v>
      </x:c>
      <x:c r="M4" s="39" t="str">
        <x:v>实际价/kg</x:v>
      </x:c>
      <x:c r="N4" s="39" t="str">
        <x:v>可信度</x:v>
      </x:c>
    </x:row>
    <x:row r="5" ht="35" customHeight="1">
      <x:c r="A5" s="37" t="str">
        <x:v>南部</x:v>
      </x:c>
      <x:c r="B5" s="37" t="str">
        <x:v>Bách Hóa Xanh默认门店（待固定城市）</x:v>
      </x:c>
      <x:c r="C5" s="37" t="str">
        <x:v>Bách Hóa Xanh</x:v>
      </x:c>
      <x:c r="D5" s="37" t="str">
        <x:v>C.P. Vietnam</x:v>
      </x:c>
      <x:c r="E5" s="37" t="str">
        <x:v>C.P.</x:v>
      </x:c>
      <x:c r="F5" s="37" t="str">
        <x:v>五花肉</x:v>
      </x:c>
      <x:c r="G5" s="37" t="str">
        <x:v>Ba rọi heo giá tốt tại Bách hoá XANH</x:v>
      </x:c>
      <x:c r="H5" s="37" t="str">
        <x:v>冷鲜</x:v>
      </x:c>
      <x:c r="I5" s="40" t="n">
        <x:v>300</x:v>
      </x:c>
      <x:c r="J5" s="40" t="n">
        <x:v>51000</x:v>
      </x:c>
      <x:c r="K5" s="40" t="n">
        <x:v>170000</x:v>
      </x:c>
      <x:c r="L5" s="40"/>
      <x:c r="M5" s="40" t="n">
        <x:f>IF(L5&lt;&gt;"",L5,K5)</x:f>
        <x:v>170000</x:v>
      </x:c>
      <x:c r="N5" s="37" t="str">
        <x:v>中：交易页价格有效期为当天，但尚未固定配送门店且原价未展示</x:v>
      </x:c>
    </x:row>
    <x:row r="6" ht="35" customHeight="1">
      <x:c r="A6" s="37" t="str">
        <x:v>南部</x:v>
      </x:c>
      <x:c r="B6" s="37" t="str">
        <x:v>Bách Hóa Xanh默认门店（待固定城市）</x:v>
      </x:c>
      <x:c r="C6" s="37" t="str">
        <x:v>Bách Hóa Xanh</x:v>
      </x:c>
      <x:c r="D6" s="37" t="str">
        <x:v>C.P. Vietnam</x:v>
      </x:c>
      <x:c r="E6" s="37" t="str">
        <x:v>C.P.</x:v>
      </x:c>
      <x:c r="F6" s="37" t="str">
        <x:v>去肋五花肉</x:v>
      </x:c>
      <x:c r="G6" s="37" t="str">
        <x:v>Ba rọi heo rút sườn C.P khay 300g giá tốt tại Bách hoá XANH</x:v>
      </x:c>
      <x:c r="H6" s="37" t="str">
        <x:v>冷鲜</x:v>
      </x:c>
      <x:c r="I6" s="40" t="n">
        <x:v>300</x:v>
      </x:c>
      <x:c r="J6" s="40" t="n">
        <x:v>80000</x:v>
      </x:c>
      <x:c r="K6" s="40" t="n">
        <x:v>266667</x:v>
      </x:c>
      <x:c r="L6" s="40"/>
      <x:c r="M6" s="40" t="n">
        <x:f>IF(L6&lt;&gt;"",L6,K6)</x:f>
        <x:v>266667</x:v>
      </x:c>
      <x:c r="N6" s="37" t="str">
        <x:v>中：交易页价格有效期为当天，但尚未固定配送门店且原价未展示</x:v>
      </x:c>
    </x:row>
    <x:row r="7" ht="35" customHeight="1">
      <x:c r="A7" s="37" t="str">
        <x:v>南部</x:v>
      </x:c>
      <x:c r="B7" s="37" t="str">
        <x:v>Bách Hóa Xanh默认门店（待固定城市）</x:v>
      </x:c>
      <x:c r="C7" s="37" t="str">
        <x:v>Bách Hóa Xanh</x:v>
      </x:c>
      <x:c r="D7" s="37" t="str">
        <x:v>C.P. Vietnam</x:v>
      </x:c>
      <x:c r="E7" s="37" t="str">
        <x:v>C.P.</x:v>
      </x:c>
      <x:c r="F7" s="37" t="str">
        <x:v>后腿肉</x:v>
      </x:c>
      <x:c r="G7" s="37" t="str">
        <x:v>Thịt đùi heo 300g giá tốt tại Bách hoá XANH</x:v>
      </x:c>
      <x:c r="H7" s="37" t="str">
        <x:v>冷鲜</x:v>
      </x:c>
      <x:c r="I7" s="40" t="n">
        <x:v>300</x:v>
      </x:c>
      <x:c r="J7" s="40" t="n">
        <x:v>39000</x:v>
      </x:c>
      <x:c r="K7" s="40" t="n">
        <x:v>130000</x:v>
      </x:c>
      <x:c r="L7" s="40"/>
      <x:c r="M7" s="40" t="n">
        <x:f>IF(L7&lt;&gt;"",L7,K7)</x:f>
        <x:v>130000</x:v>
      </x:c>
      <x:c r="N7" s="37" t="str">
        <x:v>中：交易页价格有效期为当天，但尚未固定配送门店且原价未展示</x:v>
      </x:c>
    </x:row>
    <x:row r="8" ht="35" customHeight="1">
      <x:c r="A8" s="37" t="str">
        <x:v>南部</x:v>
      </x:c>
      <x:c r="B8" s="37" t="str">
        <x:v>Bách Hóa Xanh默认门店（待固定城市）</x:v>
      </x:c>
      <x:c r="C8" s="37" t="str">
        <x:v>Bách Hóa Xanh</x:v>
      </x:c>
      <x:c r="D8" s="37" t="str">
        <x:v>C.P. Vietnam</x:v>
      </x:c>
      <x:c r="E8" s="37" t="str">
        <x:v>C.P.</x:v>
      </x:c>
      <x:c r="F8" s="37" t="str">
        <x:v>猪瘦肉</x:v>
      </x:c>
      <x:c r="G8" s="37" t="str">
        <x:v>Thịt nạc heo tại Bách hoá XANH</x:v>
      </x:c>
      <x:c r="H8" s="37" t="str">
        <x:v>冷鲜</x:v>
      </x:c>
      <x:c r="I8" s="40" t="n">
        <x:v>300</x:v>
      </x:c>
      <x:c r="J8" s="40" t="n">
        <x:v>42000</x:v>
      </x:c>
      <x:c r="K8" s="40" t="n">
        <x:v>140000</x:v>
      </x:c>
      <x:c r="L8" s="40"/>
      <x:c r="M8" s="40" t="n">
        <x:f>IF(L8&lt;&gt;"",L8,K8)</x:f>
        <x:v>140000</x:v>
      </x:c>
      <x:c r="N8" s="37" t="str">
        <x:v>中：交易页价格有效期为当天，但尚未固定配送门店且原价未展示</x:v>
      </x:c>
    </x:row>
    <x:row r="9" ht="35" customHeight="1">
      <x:c r="A9" s="37" t="str">
        <x:v>南部</x:v>
      </x:c>
      <x:c r="B9" s="37" t="str">
        <x:v>胡志明市/Kingfoodmart默认门店</x:v>
      </x:c>
      <x:c r="C9" s="37" t="str">
        <x:v>Kingfoodmart</x:v>
      </x:c>
      <x:c r="D9" s="37" t="str">
        <x:v>GREENFEED</x:v>
      </x:c>
      <x:c r="E9" s="37" t="str">
        <x:v>Meatcool</x:v>
      </x:c>
      <x:c r="F9" s="37" t="str">
        <x:v>梅花肉</x:v>
      </x:c>
      <x:c r="G9" s="37" t="str">
        <x:v>Nạc dăm heo Meatcool 360-440g</x:v>
      </x:c>
      <x:c r="H9" s="37" t="str">
        <x:v>冷鲜</x:v>
      </x:c>
      <x:c r="I9" s="40" t="n">
        <x:v>400</x:v>
      </x:c>
      <x:c r="J9" s="40" t="n">
        <x:v>90400</x:v>
      </x:c>
      <x:c r="K9" s="40" t="n">
        <x:v>226000</x:v>
      </x:c>
      <x:c r="L9" s="40" t="n">
        <x:v>192100</x:v>
      </x:c>
      <x:c r="M9" s="40" t="n">
        <x:f>IF(L9&lt;&gt;"",L9,K9)</x:f>
        <x:v>192100</x:v>
      </x:c>
      <x:c r="N9" s="37" t="str">
        <x:v>中：交易页含价格/重量/库存，但尚未锁定具体门店</x:v>
      </x:c>
    </x:row>
    <x:row r="10" ht="35" customHeight="1">
      <x:c r="A10" s="37" t="str">
        <x:v>南部</x:v>
      </x:c>
      <x:c r="B10" s="37" t="str">
        <x:v>胡志明市/Kingfoodmart默认门店</x:v>
      </x:c>
      <x:c r="C10" s="37" t="str">
        <x:v>Kingfoodmart</x:v>
      </x:c>
      <x:c r="D10" s="37" t="str">
        <x:v>BAF</x:v>
      </x:c>
      <x:c r="E10" s="37" t="str">
        <x:v>BAF</x:v>
      </x:c>
      <x:c r="F10" s="37" t="str">
        <x:v>梅花肉</x:v>
      </x:c>
      <x:c r="G10" s="37" t="str">
        <x:v>Nạc dăm heo BAF khay 300g</x:v>
      </x:c>
      <x:c r="H10" s="37" t="str">
        <x:v>冷鲜</x:v>
      </x:c>
      <x:c r="I10" s="40" t="n">
        <x:v>300</x:v>
      </x:c>
      <x:c r="J10" s="40" t="n">
        <x:v>74000</x:v>
      </x:c>
      <x:c r="K10" s="40" t="n">
        <x:v>246667</x:v>
      </x:c>
      <x:c r="L10" s="40"/>
      <x:c r="M10" s="40" t="n">
        <x:f>IF(L10&lt;&gt;"",L10,K10)</x:f>
        <x:v>246667</x:v>
      </x:c>
      <x:c r="N10" s="37" t="str">
        <x:v>中：交易页含价格/重量/库存，但尚未锁定具体门店</x:v>
      </x:c>
    </x:row>
    <x:row r="11" ht="35" customHeight="1">
      <x:c r="A11" s="37" t="str">
        <x:v>南部</x:v>
      </x:c>
      <x:c r="B11" s="37" t="str">
        <x:v>胡志明市/Kingfoodmart默认门店</x:v>
      </x:c>
      <x:c r="C11" s="37" t="str">
        <x:v>Kingfoodmart</x:v>
      </x:c>
      <x:c r="D11" s="37" t="str">
        <x:v>GREENFEED</x:v>
      </x:c>
      <x:c r="E11" s="37" t="str">
        <x:v>Meatcool</x:v>
      </x:c>
      <x:c r="F11" s="37" t="str">
        <x:v>猪排</x:v>
      </x:c>
      <x:c r="G11" s="37" t="str">
        <x:v>Cốt lết Meatcool 9-10 miếng/túi 900g</x:v>
      </x:c>
      <x:c r="H11" s="37" t="str">
        <x:v>冷鲜</x:v>
      </x:c>
      <x:c r="I11" s="40" t="n">
        <x:v>900</x:v>
      </x:c>
      <x:c r="J11" s="40" t="n">
        <x:v>125000</x:v>
      </x:c>
      <x:c r="K11" s="40" t="n">
        <x:v>138889</x:v>
      </x:c>
      <x:c r="L11" s="40"/>
      <x:c r="M11" s="40" t="n">
        <x:f>IF(L11&lt;&gt;"",L11,K11)</x:f>
        <x:v>138889</x:v>
      </x:c>
      <x:c r="N11" s="37" t="str">
        <x:v>中：交易页含价格/重量/库存，但尚未锁定具体门店</x:v>
      </x:c>
    </x:row>
    <x:row r="12" ht="35" customHeight="1">
      <x:c r="A12" s="37" t="str">
        <x:v>南部</x:v>
      </x:c>
      <x:c r="B12" s="37" t="str">
        <x:v>胡志明市/Kingfoodmart默认门店</x:v>
      </x:c>
      <x:c r="C12" s="37" t="str">
        <x:v>Kingfoodmart</x:v>
      </x:c>
      <x:c r="D12" s="37" t="str">
        <x:v>GREENFEED</x:v>
      </x:c>
      <x:c r="E12" s="37" t="str">
        <x:v>Meatcool</x:v>
      </x:c>
      <x:c r="F12" s="37" t="str">
        <x:v>后腿肉</x:v>
      </x:c>
      <x:c r="G12" s="37" t="str">
        <x:v>Thịt đùi Meatcool túi 900g</x:v>
      </x:c>
      <x:c r="H12" s="37" t="str">
        <x:v>冷鲜</x:v>
      </x:c>
      <x:c r="I12" s="40" t="n">
        <x:v>900</x:v>
      </x:c>
      <x:c r="J12" s="40" t="n">
        <x:v>125000</x:v>
      </x:c>
      <x:c r="K12" s="40" t="n">
        <x:v>138889</x:v>
      </x:c>
      <x:c r="L12" s="40"/>
      <x:c r="M12" s="40" t="n">
        <x:f>IF(L12&lt;&gt;"",L12,K12)</x:f>
        <x:v>138889</x:v>
      </x:c>
      <x:c r="N12" s="37" t="str">
        <x:v>中：交易页含价格/重量/库存，但尚未锁定具体门店</x:v>
      </x:c>
    </x:row>
    <x:row r="13" ht="35" customHeight="1">
      <x:c r="A13" s="37" t="str">
        <x:v>南部</x:v>
      </x:c>
      <x:c r="B13" s="37" t="str">
        <x:v>胡志明市/Kingfoodmart默认门店</x:v>
      </x:c>
      <x:c r="C13" s="37" t="str">
        <x:v>Kingfoodmart</x:v>
      </x:c>
      <x:c r="D13" s="37" t="str">
        <x:v>Vĩnh Tân</x:v>
      </x:c>
      <x:c r="E13" s="37" t="str">
        <x:v>Vĩnh Tân</x:v>
      </x:c>
      <x:c r="F13" s="37" t="str">
        <x:v>梅花肉</x:v>
      </x:c>
      <x:c r="G13" s="37" t="str">
        <x:v>Nạc dăm heo Vĩnh Tân khay 200g</x:v>
      </x:c>
      <x:c r="H13" s="37" t="str">
        <x:v>冷鲜</x:v>
      </x:c>
      <x:c r="I13" s="40" t="n">
        <x:v>200</x:v>
      </x:c>
      <x:c r="J13" s="40" t="n">
        <x:v>37000</x:v>
      </x:c>
      <x:c r="K13" s="40" t="n">
        <x:v>185000</x:v>
      </x:c>
      <x:c r="L13" s="40"/>
      <x:c r="M13" s="40" t="n">
        <x:f>IF(L13&lt;&gt;"",L13,K13)</x:f>
        <x:v>185000</x:v>
      </x:c>
      <x:c r="N13" s="37" t="str">
        <x:v>中：交易页含价格/重量/库存，但尚未锁定具体门店</x:v>
      </x:c>
    </x:row>
    <x:row r="14" ht="35" customHeight="1">
      <x:c r="A14" s="37" t="str">
        <x:v>南部</x:v>
      </x:c>
      <x:c r="B14" s="37" t="str">
        <x:v>胡志明市/Kingfoodmart默认门店</x:v>
      </x:c>
      <x:c r="C14" s="37" t="str">
        <x:v>Kingfoodmart</x:v>
      </x:c>
      <x:c r="D14" s="37" t="str">
        <x:v>Vĩnh Tân</x:v>
      </x:c>
      <x:c r="E14" s="37" t="str">
        <x:v>Vĩnh Tân</x:v>
      </x:c>
      <x:c r="F14" s="37" t="str">
        <x:v>猪排</x:v>
      </x:c>
      <x:c r="G14" s="37" t="str">
        <x:v>Nạc cốt lết cắt Vĩnh Tân khay 400g</x:v>
      </x:c>
      <x:c r="H14" s="37" t="str">
        <x:v>冷鲜</x:v>
      </x:c>
      <x:c r="I14" s="40" t="n">
        <x:v>400</x:v>
      </x:c>
      <x:c r="J14" s="40" t="n">
        <x:v>79000</x:v>
      </x:c>
      <x:c r="K14" s="40" t="n">
        <x:v>197500</x:v>
      </x:c>
      <x:c r="L14" s="40"/>
      <x:c r="M14" s="40" t="n">
        <x:f>IF(L14&lt;&gt;"",L14,K14)</x:f>
        <x:v>197500</x:v>
      </x:c>
      <x:c r="N14" s="37" t="str">
        <x:v>中：交易页含价格/重量/库存，但尚未锁定具体门店</x:v>
      </x:c>
    </x:row>
    <x:row r="15" ht="35" customHeight="1">
      <x:c r="A15" s="37" t="str">
        <x:v>南部</x:v>
      </x:c>
      <x:c r="B15" s="37" t="str">
        <x:v>胡志明市/Kingfoodmart默认门店</x:v>
      </x:c>
      <x:c r="C15" s="37" t="str">
        <x:v>Kingfoodmart</x:v>
      </x:c>
      <x:c r="D15" s="37" t="str">
        <x:v>Vĩnh Tân</x:v>
      </x:c>
      <x:c r="E15" s="37" t="str">
        <x:v>Vĩnh Tân</x:v>
      </x:c>
      <x:c r="F15" s="37" t="str">
        <x:v>后腿肉</x:v>
      </x:c>
      <x:c r="G15" s="37" t="str">
        <x:v>Nạc đùi heo cắt xào Vĩnh Tân khay 200g</x:v>
      </x:c>
      <x:c r="H15" s="37" t="str">
        <x:v>冷鲜</x:v>
      </x:c>
      <x:c r="I15" s="40" t="n">
        <x:v>200</x:v>
      </x:c>
      <x:c r="J15" s="40" t="n">
        <x:v>33000</x:v>
      </x:c>
      <x:c r="K15" s="40" t="n">
        <x:v>165000</x:v>
      </x:c>
      <x:c r="L15" s="40"/>
      <x:c r="M15" s="40" t="n">
        <x:f>IF(L15&lt;&gt;"",L15,K15)</x:f>
        <x:v>165000</x:v>
      </x:c>
      <x:c r="N15" s="37" t="str">
        <x:v>中：交易页含价格/重量/库存，但尚未锁定具体门店</x:v>
      </x:c>
    </x:row>
  </x:sheetData>
  <x:mergeCells>
    <x:mergeCell ref="A1:N1"/>
    <x:mergeCell ref="A2:N2"/>
  </x:mergeCells>
  <x:conditionalFormatting sqref="A5:N15">
    <x:cfRule type="expression" dxfId="0" priority="1">
      <x:formula>$M5&lt;150000</x:formula>
    </x:cfRule>
    <x:cfRule type="expression" dxfId="1" priority="2">
      <x:formula>AND($M5&gt;=150000,$M5&lt;220000)</x:formula>
    </x:cfRule>
    <x:cfRule type="expression" dxfId="2" priority="3">
      <x:formula>$M5&gt;=220000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16" hidden="0" customWidth="1"/>
    <x:col min="4" max="4" width="34" hidden="0" customWidth="1"/>
    <x:col min="5" max="5" width="12" hidden="0" customWidth="1"/>
    <x:col min="6" max="6" width="16" hidden="0" customWidth="1"/>
    <x:col min="7" max="7" width="16" hidden="0" customWidth="1"/>
    <x:col min="8" max="8" width="16" hidden="0" customWidth="1"/>
    <x:col min="9" max="9" width="14" hidden="0" customWidth="1"/>
    <x:col min="10" max="10" width="13" hidden="0" customWidth="1"/>
  </x:cols>
  <x:sheetData>
    <x:row r="1" ht="30" customHeight="1">
      <x:c r="A1" s="42" t="str">
        <x:v>2026年7月同口径月度变化</x:v>
      </x:c>
      <x:c r="B1" s="42"/>
      <x:c r="C1" s="42"/>
      <x:c r="D1" s="42"/>
      <x:c r="E1" s="42"/>
      <x:c r="F1" s="42"/>
      <x:c r="G1" s="42"/>
      <x:c r="H1" s="42"/>
      <x:c r="I1" s="42"/>
      <x:c r="J1" s="42"/>
    </x:row>
    <x:row r="2" ht="34" customHeight="1">
      <x:c r="A2" s="32" t="str">
        <x:v>只比较同一渠道、品牌、中文部位与门店口径；月初价为当月首个有效采集日，实际价优先采用促销价。</x:v>
      </x:c>
      <x:c r="B2" s="32"/>
      <x:c r="C2" s="32"/>
      <x:c r="D2" s="32"/>
      <x:c r="E2" s="32"/>
      <x:c r="F2" s="32"/>
      <x:c r="G2" s="32"/>
      <x:c r="H2" s="32"/>
      <x:c r="I2" s="32"/>
      <x:c r="J2" s="32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</x:row>
    <x:row r="4">
      <x:c r="A4" s="39" t="str">
        <x:v>渠道</x:v>
      </x:c>
      <x:c r="B4" s="39" t="str">
        <x:v>品牌</x:v>
      </x:c>
      <x:c r="C4" s="39" t="str">
        <x:v>部位</x:v>
      </x:c>
      <x:c r="D4" s="39" t="str">
        <x:v>门店口径</x:v>
      </x:c>
      <x:c r="E4" s="39" t="str">
        <x:v>有效天数</x:v>
      </x:c>
      <x:c r="F4" s="39" t="str">
        <x:v>月初/首日</x:v>
      </x:c>
      <x:c r="G4" s="39" t="str">
        <x:v>今日/最新</x:v>
      </x:c>
      <x:c r="H4" s="39" t="str">
        <x:v>月内中位数</x:v>
      </x:c>
      <x:c r="I4" s="39" t="str">
        <x:v>月变化</x:v>
      </x:c>
      <x:c r="J4" s="39" t="str">
        <x:v>判读</x:v>
      </x:c>
    </x:row>
    <x:row r="5" ht="31" customHeight="1">
      <x:c r="A5" s="37" t="str">
        <x:v>Kingfoodmart</x:v>
      </x:c>
      <x:c r="B5" s="37" t="str">
        <x:v>BAF</x:v>
      </x:c>
      <x:c r="C5" s="37" t="str">
        <x:v>梅花肉</x:v>
      </x:c>
      <x:c r="D5" s="37" t="str">
        <x:v>胡志明市/Kingfoodmart默认门店</x:v>
      </x:c>
      <x:c r="E5" s="40" t="n">
        <x:v>1</x:v>
      </x:c>
      <x:c r="F5" s="40" t="n">
        <x:v>246667</x:v>
      </x:c>
      <x:c r="G5" s="40" t="n">
        <x:v>246667</x:v>
      </x:c>
      <x:c r="H5" s="40" t="n">
        <x:v>246667</x:v>
      </x:c>
      <x:c r="I5" s="41" t="str">
        <x:f>IF(E5&lt;2,"",G5/F5-1)</x:f>
      </x:c>
      <x:c r="J5" s="37" t="str">
        <x:f>IF(E5&lt;2,"积累中",IF(I5&gt;=0.01,"上涨",IF(I5&lt;=-0.01,"下降","平稳")))</x:f>
        <x:v>积累中</x:v>
      </x:c>
    </x:row>
    <x:row r="6" ht="31" customHeight="1">
      <x:c r="A6" s="37" t="str">
        <x:v>Bách Hóa Xanh</x:v>
      </x:c>
      <x:c r="B6" s="37" t="str">
        <x:v>C.P.</x:v>
      </x:c>
      <x:c r="C6" s="37" t="str">
        <x:v>五花肉</x:v>
      </x:c>
      <x:c r="D6" s="37" t="str">
        <x:v>Bách Hóa Xanh默认门店（待固定城市）</x:v>
      </x:c>
      <x:c r="E6" s="40" t="n">
        <x:v>2</x:v>
      </x:c>
      <x:c r="F6" s="40" t="n">
        <x:v>159000</x:v>
      </x:c>
      <x:c r="G6" s="40" t="n">
        <x:v>170000</x:v>
      </x:c>
      <x:c r="H6" s="40" t="n">
        <x:v>170000</x:v>
      </x:c>
      <x:c r="I6" s="41" t="n">
        <x:f>IF(E6&lt;2,"",G6/F6-1)</x:f>
        <x:v>0.0691823899371069</x:v>
      </x:c>
      <x:c r="J6" s="37" t="str">
        <x:f>IF(E6&lt;2,"积累中",IF(I6&gt;=0.01,"上涨",IF(I6&lt;=-0.01,"下降","平稳")))</x:f>
        <x:v>上涨</x:v>
      </x:c>
    </x:row>
    <x:row r="7" ht="31" customHeight="1">
      <x:c r="A7" s="37" t="str">
        <x:v>Bách Hóa Xanh</x:v>
      </x:c>
      <x:c r="B7" s="37" t="str">
        <x:v>C.P.</x:v>
      </x:c>
      <x:c r="C7" s="37" t="str">
        <x:v>去肋五花肉</x:v>
      </x:c>
      <x:c r="D7" s="37" t="str">
        <x:v>Bách Hóa Xanh默认门店（待固定城市）</x:v>
      </x:c>
      <x:c r="E7" s="40" t="n">
        <x:v>2</x:v>
      </x:c>
      <x:c r="F7" s="40" t="n">
        <x:v>266667</x:v>
      </x:c>
      <x:c r="G7" s="40" t="n">
        <x:v>266667</x:v>
      </x:c>
      <x:c r="H7" s="40" t="n">
        <x:v>266667</x:v>
      </x:c>
      <x:c r="I7" s="41" t="n">
        <x:f>IF(E7&lt;2,"",G7/F7-1)</x:f>
        <x:v>0</x:v>
      </x:c>
      <x:c r="J7" s="37" t="str">
        <x:f>IF(E7&lt;2,"积累中",IF(I7&gt;=0.01,"上涨",IF(I7&lt;=-0.01,"下降","平稳")))</x:f>
        <x:v>平稳</x:v>
      </x:c>
    </x:row>
    <x:row r="8" ht="31" customHeight="1">
      <x:c r="A8" s="37" t="str">
        <x:v>Bách Hóa Xanh</x:v>
      </x:c>
      <x:c r="B8" s="37" t="str">
        <x:v>C.P.</x:v>
      </x:c>
      <x:c r="C8" s="37" t="str">
        <x:v>后腿肉</x:v>
      </x:c>
      <x:c r="D8" s="37" t="str">
        <x:v>Bách Hóa Xanh默认门店（待固定城市）</x:v>
      </x:c>
      <x:c r="E8" s="40" t="n">
        <x:v>2</x:v>
      </x:c>
      <x:c r="F8" s="40" t="n">
        <x:v>109000</x:v>
      </x:c>
      <x:c r="G8" s="40" t="n">
        <x:v>130000</x:v>
      </x:c>
      <x:c r="H8" s="40" t="n">
        <x:v>130000</x:v>
      </x:c>
      <x:c r="I8" s="41" t="n">
        <x:f>IF(E8&lt;2,"",G8/F8-1)</x:f>
        <x:v>0.19266055045871555</x:v>
      </x:c>
      <x:c r="J8" s="37" t="str">
        <x:f>IF(E8&lt;2,"积累中",IF(I8&gt;=0.01,"上涨",IF(I8&lt;=-0.01,"下降","平稳")))</x:f>
        <x:v>上涨</x:v>
      </x:c>
    </x:row>
    <x:row r="9" ht="31" customHeight="1">
      <x:c r="A9" s="37" t="str">
        <x:v>Bách Hóa Xanh</x:v>
      </x:c>
      <x:c r="B9" s="37" t="str">
        <x:v>C.P.</x:v>
      </x:c>
      <x:c r="C9" s="37" t="str">
        <x:v>猪瘦肉</x:v>
      </x:c>
      <x:c r="D9" s="37" t="str">
        <x:v>Bách Hóa Xanh默认门店（待固定城市）</x:v>
      </x:c>
      <x:c r="E9" s="40" t="n">
        <x:v>2</x:v>
      </x:c>
      <x:c r="F9" s="40" t="n">
        <x:v>132000</x:v>
      </x:c>
      <x:c r="G9" s="40" t="n">
        <x:v>140000</x:v>
      </x:c>
      <x:c r="H9" s="40" t="n">
        <x:v>140000</x:v>
      </x:c>
      <x:c r="I9" s="41" t="n">
        <x:f>IF(E9&lt;2,"",G9/F9-1)</x:f>
        <x:v>0.06060606060606055</x:v>
      </x:c>
      <x:c r="J9" s="37" t="str">
        <x:f>IF(E9&lt;2,"积累中",IF(I9&gt;=0.01,"上涨",IF(I9&lt;=-0.01,"下降","平稳")))</x:f>
        <x:v>上涨</x:v>
      </x:c>
    </x:row>
    <x:row r="10" ht="31" customHeight="1">
      <x:c r="A10" s="37" t="str">
        <x:v>Kingfoodmart</x:v>
      </x:c>
      <x:c r="B10" s="37" t="str">
        <x:v>Meatcool</x:v>
      </x:c>
      <x:c r="C10" s="37" t="str">
        <x:v>后腿肉</x:v>
      </x:c>
      <x:c r="D10" s="37" t="str">
        <x:v>胡志明市/Kingfoodmart默认门店</x:v>
      </x:c>
      <x:c r="E10" s="40" t="n">
        <x:v>2</x:v>
      </x:c>
      <x:c r="F10" s="40" t="n">
        <x:v>138889</x:v>
      </x:c>
      <x:c r="G10" s="40" t="n">
        <x:v>138889</x:v>
      </x:c>
      <x:c r="H10" s="40" t="n">
        <x:v>138889</x:v>
      </x:c>
      <x:c r="I10" s="41" t="n">
        <x:f>IF(E10&lt;2,"",G10/F10-1)</x:f>
        <x:v>0</x:v>
      </x:c>
      <x:c r="J10" s="37" t="str">
        <x:f>IF(E10&lt;2,"积累中",IF(I10&gt;=0.01,"上涨",IF(I10&lt;=-0.01,"下降","平稳")))</x:f>
        <x:v>平稳</x:v>
      </x:c>
    </x:row>
    <x:row r="11" ht="31" customHeight="1">
      <x:c r="A11" s="37" t="str">
        <x:v>Kingfoodmart</x:v>
      </x:c>
      <x:c r="B11" s="37" t="str">
        <x:v>Meatcool</x:v>
      </x:c>
      <x:c r="C11" s="37" t="str">
        <x:v>梅花肉</x:v>
      </x:c>
      <x:c r="D11" s="37" t="str">
        <x:v>胡志明市/Kingfoodmart默认门店</x:v>
      </x:c>
      <x:c r="E11" s="40" t="n">
        <x:v>2</x:v>
      </x:c>
      <x:c r="F11" s="40" t="n">
        <x:v>226000</x:v>
      </x:c>
      <x:c r="G11" s="40" t="n">
        <x:v>192100</x:v>
      </x:c>
      <x:c r="H11" s="40" t="n">
        <x:v>226000</x:v>
      </x:c>
      <x:c r="I11" s="41" t="n">
        <x:f>IF(E11&lt;2,"",G11/F11-1)</x:f>
        <x:v>-0.15000000000000002</x:v>
      </x:c>
      <x:c r="J11" s="37" t="str">
        <x:f>IF(E11&lt;2,"积累中",IF(I11&gt;=0.01,"上涨",IF(I11&lt;=-0.01,"下降","平稳")))</x:f>
        <x:v>下降</x:v>
      </x:c>
    </x:row>
    <x:row r="12" ht="31" customHeight="1">
      <x:c r="A12" s="37" t="str">
        <x:v>Kingfoodmart</x:v>
      </x:c>
      <x:c r="B12" s="37" t="str">
        <x:v>Meatcool</x:v>
      </x:c>
      <x:c r="C12" s="37" t="str">
        <x:v>猪排</x:v>
      </x:c>
      <x:c r="D12" s="37" t="str">
        <x:v>胡志明市/Kingfoodmart默认门店</x:v>
      </x:c>
      <x:c r="E12" s="40" t="n">
        <x:v>2</x:v>
      </x:c>
      <x:c r="F12" s="40" t="n">
        <x:v>138889</x:v>
      </x:c>
      <x:c r="G12" s="40" t="n">
        <x:v>138889</x:v>
      </x:c>
      <x:c r="H12" s="40" t="n">
        <x:v>138889</x:v>
      </x:c>
      <x:c r="I12" s="41" t="n">
        <x:f>IF(E12&lt;2,"",G12/F12-1)</x:f>
        <x:v>0</x:v>
      </x:c>
      <x:c r="J12" s="37" t="str">
        <x:f>IF(E12&lt;2,"积累中",IF(I12&gt;=0.01,"上涨",IF(I12&lt;=-0.01,"下降","平稳")))</x:f>
        <x:v>平稳</x:v>
      </x:c>
    </x:row>
    <x:row r="13" ht="31" customHeight="1">
      <x:c r="A13" s="37" t="str">
        <x:v>WinMart</x:v>
      </x:c>
      <x:c r="B13" s="37" t="str">
        <x:v>MEATDeli</x:v>
      </x:c>
      <x:c r="C13" s="37" t="str">
        <x:v>五花肉</x:v>
      </x:c>
      <x:c r="D13" s="37" t="str">
        <x:v>WinMart默认门店（待固定城市）</x:v>
      </x:c>
      <x:c r="E13" s="40" t="n">
        <x:v>1</x:v>
      </x:c>
      <x:c r="F13" s="40" t="n">
        <x:v>199900</x:v>
      </x:c>
      <x:c r="G13" s="40" t="n">
        <x:v>199900</x:v>
      </x:c>
      <x:c r="H13" s="40" t="n">
        <x:v>199900</x:v>
      </x:c>
      <x:c r="I13" s="41" t="str">
        <x:f>IF(E13&lt;2,"",G13/F13-1)</x:f>
      </x:c>
      <x:c r="J13" s="37" t="str">
        <x:f>IF(E13&lt;2,"积累中",IF(I13&gt;=0.01,"上涨",IF(I13&lt;=-0.01,"下降","平稳")))</x:f>
        <x:v>积累中</x:v>
      </x:c>
    </x:row>
    <x:row r="14" ht="31" customHeight="1">
      <x:c r="A14" s="37" t="str">
        <x:v>WinMart</x:v>
      </x:c>
      <x:c r="B14" s="37" t="str">
        <x:v>MEATDeli</x:v>
      </x:c>
      <x:c r="C14" s="37" t="str">
        <x:v>小排</x:v>
      </x:c>
      <x:c r="D14" s="37" t="str">
        <x:v>WinMart默认门店（待固定城市）</x:v>
      </x:c>
      <x:c r="E14" s="40" t="n">
        <x:v>1</x:v>
      </x:c>
      <x:c r="F14" s="40" t="n">
        <x:v>287900</x:v>
      </x:c>
      <x:c r="G14" s="40" t="n">
        <x:v>287900</x:v>
      </x:c>
      <x:c r="H14" s="40" t="n">
        <x:v>287900</x:v>
      </x:c>
      <x:c r="I14" s="41" t="str">
        <x:f>IF(E14&lt;2,"",G14/F14-1)</x:f>
      </x:c>
      <x:c r="J14" s="37" t="str">
        <x:f>IF(E14&lt;2,"积累中",IF(I14&gt;=0.01,"上涨",IF(I14&lt;=-0.01,"下降","平稳")))</x:f>
        <x:v>积累中</x:v>
      </x:c>
    </x:row>
    <x:row r="15" ht="31" customHeight="1">
      <x:c r="A15" s="37" t="str">
        <x:v>WinMart</x:v>
      </x:c>
      <x:c r="B15" s="37" t="str">
        <x:v>MEATDeli</x:v>
      </x:c>
      <x:c r="C15" s="37" t="str">
        <x:v>梅花肉</x:v>
      </x:c>
      <x:c r="D15" s="37" t="str">
        <x:v>WinMart默认门店（待固定城市）</x:v>
      </x:c>
      <x:c r="E15" s="40" t="n">
        <x:v>1</x:v>
      </x:c>
      <x:c r="F15" s="40" t="n">
        <x:v>204900</x:v>
      </x:c>
      <x:c r="G15" s="40" t="n">
        <x:v>204900</x:v>
      </x:c>
      <x:c r="H15" s="40" t="n">
        <x:v>204900</x:v>
      </x:c>
      <x:c r="I15" s="41" t="str">
        <x:f>IF(E15&lt;2,"",G15/F15-1)</x:f>
      </x:c>
      <x:c r="J15" s="37" t="str">
        <x:f>IF(E15&lt;2,"积累中",IF(I15&gt;=0.01,"上涨",IF(I15&lt;=-0.01,"下降","平稳")))</x:f>
        <x:v>积累中</x:v>
      </x:c>
    </x:row>
    <x:row r="16" ht="31" customHeight="1">
      <x:c r="A16" s="37" t="str">
        <x:v>WinMart</x:v>
      </x:c>
      <x:c r="B16" s="37" t="str">
        <x:v>MEATDeli</x:v>
      </x:c>
      <x:c r="C16" s="37" t="str">
        <x:v>肩肉</x:v>
      </x:c>
      <x:c r="D16" s="37" t="str">
        <x:v>WinMart默认门店（待固定城市）</x:v>
      </x:c>
      <x:c r="E16" s="40" t="n">
        <x:v>1</x:v>
      </x:c>
      <x:c r="F16" s="40" t="n">
        <x:v>168900</x:v>
      </x:c>
      <x:c r="G16" s="40" t="n">
        <x:v>168900</x:v>
      </x:c>
      <x:c r="H16" s="40" t="n">
        <x:v>168900</x:v>
      </x:c>
      <x:c r="I16" s="41" t="str">
        <x:f>IF(E16&lt;2,"",G16/F16-1)</x:f>
      </x:c>
      <x:c r="J16" s="37" t="str">
        <x:f>IF(E16&lt;2,"积累中",IF(I16&gt;=0.01,"上涨",IF(I16&lt;=-0.01,"下降","平稳")))</x:f>
        <x:v>积累中</x:v>
      </x:c>
    </x:row>
    <x:row r="17" ht="31" customHeight="1">
      <x:c r="A17" s="37" t="str">
        <x:v>Kingfoodmart</x:v>
      </x:c>
      <x:c r="B17" s="37" t="str">
        <x:v>Vĩnh Tân</x:v>
      </x:c>
      <x:c r="C17" s="37" t="str">
        <x:v>后腿肉</x:v>
      </x:c>
      <x:c r="D17" s="37" t="str">
        <x:v>胡志明市/Kingfoodmart默认门店</x:v>
      </x:c>
      <x:c r="E17" s="40" t="n">
        <x:v>1</x:v>
      </x:c>
      <x:c r="F17" s="40" t="n">
        <x:v>165000</x:v>
      </x:c>
      <x:c r="G17" s="40" t="n">
        <x:v>165000</x:v>
      </x:c>
      <x:c r="H17" s="40" t="n">
        <x:v>165000</x:v>
      </x:c>
      <x:c r="I17" s="41" t="str">
        <x:f>IF(E17&lt;2,"",G17/F17-1)</x:f>
      </x:c>
      <x:c r="J17" s="37" t="str">
        <x:f>IF(E17&lt;2,"积累中",IF(I17&gt;=0.01,"上涨",IF(I17&lt;=-0.01,"下降","平稳")))</x:f>
        <x:v>积累中</x:v>
      </x:c>
    </x:row>
    <x:row r="18" ht="31" customHeight="1">
      <x:c r="A18" s="37" t="str">
        <x:v>Kingfoodmart</x:v>
      </x:c>
      <x:c r="B18" s="37" t="str">
        <x:v>Vĩnh Tân</x:v>
      </x:c>
      <x:c r="C18" s="37" t="str">
        <x:v>梅花肉</x:v>
      </x:c>
      <x:c r="D18" s="37" t="str">
        <x:v>胡志明市/Kingfoodmart默认门店</x:v>
      </x:c>
      <x:c r="E18" s="40" t="n">
        <x:v>1</x:v>
      </x:c>
      <x:c r="F18" s="40" t="n">
        <x:v>185000</x:v>
      </x:c>
      <x:c r="G18" s="40" t="n">
        <x:v>185000</x:v>
      </x:c>
      <x:c r="H18" s="40" t="n">
        <x:v>185000</x:v>
      </x:c>
      <x:c r="I18" s="41" t="str">
        <x:f>IF(E18&lt;2,"",G18/F18-1)</x:f>
      </x:c>
      <x:c r="J18" s="37" t="str">
        <x:f>IF(E18&lt;2,"积累中",IF(I18&gt;=0.01,"上涨",IF(I18&lt;=-0.01,"下降","平稳")))</x:f>
        <x:v>积累中</x:v>
      </x:c>
    </x:row>
    <x:row r="19" ht="31" customHeight="1">
      <x:c r="A19" s="37" t="str">
        <x:v>Kingfoodmart</x:v>
      </x:c>
      <x:c r="B19" s="37" t="str">
        <x:v>Vĩnh Tân</x:v>
      </x:c>
      <x:c r="C19" s="37" t="str">
        <x:v>猪排</x:v>
      </x:c>
      <x:c r="D19" s="37" t="str">
        <x:v>胡志明市/Kingfoodmart默认门店</x:v>
      </x:c>
      <x:c r="E19" s="40" t="n">
        <x:v>2</x:v>
      </x:c>
      <x:c r="F19" s="40" t="n">
        <x:v>197500</x:v>
      </x:c>
      <x:c r="G19" s="40" t="n">
        <x:v>197500</x:v>
      </x:c>
      <x:c r="H19" s="40" t="n">
        <x:v>197500</x:v>
      </x:c>
      <x:c r="I19" s="41" t="n">
        <x:f>IF(E19&lt;2,"",G19/F19-1)</x:f>
        <x:v>0</x:v>
      </x:c>
      <x:c r="J19" s="37" t="str">
        <x:f>IF(E19&lt;2,"积累中",IF(I19&gt;=0.01,"上涨",IF(I19&lt;=-0.01,"下降","平稳")))</x:f>
        <x:v>平稳</x:v>
      </x:c>
    </x:row>
  </x:sheetData>
  <x:mergeCells>
    <x:mergeCell ref="A1:J1"/>
    <x:mergeCell ref="A2:J2"/>
  </x:mergeCells>
  <x:conditionalFormatting sqref="I5:I19">
    <x:cfRule type="cellIs" dxfId="3" priority="1" operator="greaterThanOrEqual">
      <x:formula>0.01</x:formula>
    </x:cfRule>
    <x:cfRule type="cellIs" dxfId="4" priority="2" operator="lessThanOrEqual">
      <x:formula>-0.01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6" hidden="0" customWidth="1"/>
    <x:col min="4" max="4" width="42" hidden="0" customWidth="1"/>
    <x:col min="5" max="5" width="52" hidden="0" customWidth="1"/>
    <x:col min="6" max="6" width="70" hidden="0" customWidth="1"/>
  </x:cols>
  <x:sheetData>
    <x:row r="1" ht="30" customHeight="1">
      <x:c r="A1" s="42" t="str">
        <x:v>来源、计算公式与数据质量</x:v>
      </x:c>
      <x:c r="B1" s="42"/>
      <x:c r="C1" s="42"/>
      <x:c r="D1" s="42"/>
      <x:c r="E1" s="42"/>
      <x:c r="F1" s="42"/>
    </x:row>
    <x:row r="2" ht="34" customHeight="1">
      <x:c r="A2" s="32" t="str">
        <x:v>每一行商品数据保留原链接。网址可复制到浏览器复核当日页面；配送城市未固定时，可信度为中等。</x:v>
      </x:c>
      <x:c r="B2" s="32"/>
      <x:c r="C2" s="32"/>
      <x:c r="D2" s="32"/>
      <x:c r="E2" s="32"/>
      <x:c r="F2" s="32"/>
    </x:row>
    <x:row r="3">
      <x:c r="A3" s="33"/>
      <x:c r="B3" s="33"/>
      <x:c r="C3" s="33"/>
      <x:c r="D3" s="33"/>
      <x:c r="E3" s="33"/>
      <x:c r="F3" s="33"/>
    </x:row>
    <x:row r="4">
      <x:c r="A4" s="39" t="str">
        <x:v>渠道</x:v>
      </x:c>
      <x:c r="B4" s="39" t="str">
        <x:v>企业/品牌</x:v>
      </x:c>
      <x:c r="C4" s="39" t="str">
        <x:v>数据类型</x:v>
      </x:c>
      <x:c r="D4" s="39" t="str">
        <x:v>价格计算</x:v>
      </x:c>
      <x:c r="E4" s="39" t="str">
        <x:v>核心限制</x:v>
      </x:c>
      <x:c r="F4" s="39" t="str">
        <x:v>公开链接</x:v>
      </x:c>
    </x:row>
    <x:row r="5" ht="58" customHeight="1">
      <x:c r="A5" s="37" t="str">
        <x:v>Bách Hóa Xanh</x:v>
      </x:c>
      <x:c r="B5" s="37" t="str">
        <x:v>C.P. Vietnam / C.P.</x:v>
      </x:c>
      <x:c r="C5" s="37" t="str">
        <x:v>A-零售交易页</x:v>
      </x:c>
      <x:c r="D5" s="37" t="str">
        <x:v>实际价/kg = 促销价/kg（如有），否则常规价/kg；包装价÷重量(kg)用于交叉核验。</x:v>
      </x:c>
      <x:c r="E5" s="37" t="str">
        <x:v>中：交易页价格有效期为当天，但尚未固定配送门店且原价未展示</x:v>
      </x:c>
      <x:c r="F5" s="37" t="str">
        <x:v>https://www.bachhoaxanh.com/thit-heo/thit-nac-heo-300g</x:v>
      </x:c>
    </x:row>
    <x:row r="6" ht="58" customHeight="1">
      <x:c r="A6" s="37" t="str">
        <x:v>Kingfoodmart</x:v>
      </x:c>
      <x:c r="B6" s="37" t="str">
        <x:v>GREENFEED / Meatcool</x:v>
      </x:c>
      <x:c r="C6" s="37" t="str">
        <x:v>A-零售交易页</x:v>
      </x:c>
      <x:c r="D6" s="37" t="str">
        <x:v>实际价/kg = 促销价/kg（如有），否则常规价/kg；包装价÷重量(kg)用于交叉核验。</x:v>
      </x:c>
      <x:c r="E6" s="37" t="str">
        <x:v>中：交易页含价格/重量/库存，但尚未锁定具体门店</x:v>
      </x:c>
      <x:c r="F6" s="37" t="str">
        <x:v>https://kingfoodmart.com/thit-heo/thit-dui-meatcool-tui-900g</x:v>
      </x:c>
    </x:row>
    <x:row r="7" ht="58" customHeight="1">
      <x:c r="A7" s="37" t="str">
        <x:v>Kingfoodmart</x:v>
      </x:c>
      <x:c r="B7" s="37" t="str">
        <x:v>BAF / BAF</x:v>
      </x:c>
      <x:c r="C7" s="37" t="str">
        <x:v>A-零售交易页</x:v>
      </x:c>
      <x:c r="D7" s="37" t="str">
        <x:v>实际价/kg = 促销价/kg（如有），否则常规价/kg；包装价÷重量(kg)用于交叉核验。</x:v>
      </x:c>
      <x:c r="E7" s="37" t="str">
        <x:v>中：交易页含价格/重量/库存，但尚未锁定具体门店</x:v>
      </x:c>
      <x:c r="F7" s="37" t="str">
        <x:v>https://kingfoodmart.com/thit-heo/nac-dam-heo-baf-khay-300g-1-khay</x:v>
      </x:c>
    </x:row>
    <x:row r="8" ht="58" customHeight="1">
      <x:c r="A8" s="37" t="str">
        <x:v>Kingfoodmart</x:v>
      </x:c>
      <x:c r="B8" s="37" t="str">
        <x:v>Vĩnh Tân / Vĩnh Tân</x:v>
      </x:c>
      <x:c r="C8" s="37" t="str">
        <x:v>A-零售交易页</x:v>
      </x:c>
      <x:c r="D8" s="37" t="str">
        <x:v>实际价/kg = 促销价/kg（如有），否则常规价/kg；包装价÷重量(kg)用于交叉核验。</x:v>
      </x:c>
      <x:c r="E8" s="37" t="str">
        <x:v>中：交易页含价格/重量/库存，但尚未锁定具体门店</x:v>
      </x:c>
      <x:c r="F8" s="37" t="str">
        <x:v>https://kingfoodmart.com/thit-heo/nac-dui-heo-cat-xao-vinh-tan-khay-200g</x:v>
      </x:c>
    </x:row>
    <x:row r="9">
      <x:c r="A9" s="33"/>
      <x:c r="B9" s="33"/>
      <x:c r="C9" s="33"/>
      <x:c r="D9" s="33"/>
      <x:c r="E9" s="33"/>
      <x:c r="F9" s="33"/>
    </x:row>
    <x:row r="10">
      <x:c r="A10" s="33"/>
      <x:c r="B10" s="33"/>
      <x:c r="C10" s="33"/>
      <x:c r="D10" s="33"/>
      <x:c r="E10" s="33"/>
      <x:c r="F10" s="33"/>
    </x:row>
    <x:row r="11">
      <x:c r="A11" s="33"/>
      <x:c r="B11" s="33"/>
      <x:c r="C11" s="33"/>
      <x:c r="D11" s="33"/>
      <x:c r="E11" s="33"/>
      <x:c r="F11" s="33"/>
    </x:row>
    <x:row r="12">
      <x:c r="A12" s="33"/>
      <x:c r="B12" s="33"/>
      <x:c r="C12" s="33"/>
      <x:c r="D12" s="33"/>
      <x:c r="E12" s="33"/>
      <x:c r="F12" s="33"/>
    </x:row>
    <x:row r="13">
      <x:c r="A13" s="33"/>
      <x:c r="B13" s="33"/>
      <x:c r="C13" s="33"/>
      <x:c r="D13" s="33"/>
      <x:c r="E13" s="33"/>
      <x:c r="F13" s="33"/>
    </x:row>
    <x:row r="14">
      <x:c r="A14" s="34" t="str">
        <x:v>统一口径</x:v>
      </x:c>
      <x:c r="B14" s="34"/>
      <x:c r="C14" s="34"/>
      <x:c r="D14" s="34"/>
      <x:c r="E14" s="34"/>
      <x:c r="F14" s="34"/>
    </x:row>
    <x:row r="15">
      <x:c r="A15" s="35" t="str">
        <x:v>字段</x:v>
      </x:c>
      <x:c r="B15" s="35" t="str">
        <x:v>规定</x:v>
      </x:c>
      <x:c r="C15" s="33"/>
      <x:c r="D15" s="33"/>
      <x:c r="E15" s="33"/>
      <x:c r="F15" s="33"/>
    </x:row>
    <x:row r="16">
      <x:c r="A16" s="37" t="str">
        <x:v>单位</x:v>
      </x:c>
      <x:c r="B16" s="37" t="str">
        <x:v>所有零售商品统一为 VND/kg；包装重量和包装售价同时保留。</x:v>
      </x:c>
      <x:c r="C16" s="33"/>
      <x:c r="D16" s="33"/>
      <x:c r="E16" s="33"/>
      <x:c r="F16" s="33"/>
    </x:row>
    <x:row r="17">
      <x:c r="A17" s="37" t="str">
        <x:v>常规价/促销价</x:v>
      </x:c>
      <x:c r="B17" s="37" t="str">
        <x:v>促销价仅在交易页同时展示原价和优惠价时单列；否则当作当前价。</x:v>
      </x:c>
      <x:c r="C17" s="33"/>
      <x:c r="D17" s="33"/>
      <x:c r="E17" s="33"/>
      <x:c r="F17" s="33"/>
    </x:row>
    <x:row r="18">
      <x:c r="A18" s="37" t="str">
        <x:v>地区</x:v>
      </x:c>
      <x:c r="B18" s="37" t="str">
        <x:v>未固定配送门店时仅作渠道/品牌观察，不做地域价格排序。</x:v>
      </x:c>
      <x:c r="C18" s="33"/>
      <x:c r="D18" s="33"/>
      <x:c r="E18" s="33"/>
      <x:c r="F18" s="33"/>
    </x:row>
    <x:row r="19">
      <x:c r="A19" s="37" t="str">
        <x:v>产品</x:v>
      </x:c>
      <x:c r="B19" s="37" t="str">
        <x:v>冷鲜、冷冻、有机、带骨/去骨和不同部位不混合平均。</x:v>
      </x:c>
      <x:c r="C19" s="33"/>
      <x:c r="D19" s="33"/>
      <x:c r="E19" s="33"/>
      <x:c r="F19" s="33"/>
    </x:row>
    <x:row r="20">
      <x:c r="A20" s="37" t="str">
        <x:v>趋势</x:v>
      </x:c>
      <x:c r="B20" s="37" t="str">
        <x:v>仅同渠道×品牌×部位×门店口径，至少2个有效日期才展示涨跌。</x:v>
      </x:c>
      <x:c r="C20" s="33"/>
      <x:c r="D20" s="33"/>
      <x:c r="E20" s="33"/>
      <x:c r="F20" s="33"/>
    </x:row>
  </x:sheetData>
  <x:mergeCells>
    <x:mergeCell ref="A1:F1"/>
    <x:mergeCell ref="A2:F2"/>
    <x:mergeCell ref="A14:F14"/>
  </x:mergeCells>
  <x:pageMargins left="0.7" right="0.7" top="0.75" bottom="0.75" header="0.3" footer="0.3"/>
</x:worksheet>
</file>