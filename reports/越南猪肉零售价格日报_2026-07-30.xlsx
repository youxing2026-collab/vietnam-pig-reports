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越南猪肉零售价格日报｜2026-07-30</t>
        </is>
      </c>
    </row>
    <row r="2" ht="34" customHeight="1">
      <c r="A2" s="2" t="inlineStr">
        <is>
          <t>采集时间：越南时间 05:39。所有商品售价均统一折算为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14组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越南猪肉零售明细｜2026-07-30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2026年7月同口径月度变化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7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Bách Hóa Xanh</t>
        </is>
      </c>
      <c r="B6" s="5" t="inlineStr">
        <is>
          <t>C.P.</t>
        </is>
      </c>
      <c r="C6" s="5" t="inlineStr">
        <is>
          <t>五花肉</t>
        </is>
      </c>
      <c r="D6" s="5" t="inlineStr">
        <is>
          <t>Bách Hóa Xanh默认门店（待固定城市）</t>
        </is>
      </c>
      <c r="E6" s="7" t="n">
        <v>2</v>
      </c>
      <c r="F6" s="7" t="n">
        <v>159000</v>
      </c>
      <c r="G6" s="7" t="n">
        <v>170000</v>
      </c>
      <c r="H6" s="7" t="n">
        <v>164500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Bách Hóa Xanh</t>
        </is>
      </c>
      <c r="B7" s="5" t="inlineStr">
        <is>
          <t>C.P.</t>
        </is>
      </c>
      <c r="C7" s="5" t="inlineStr">
        <is>
          <t>去肋五花肉</t>
        </is>
      </c>
      <c r="D7" s="5" t="inlineStr">
        <is>
          <t>Bách Hóa Xanh默认门店（待固定城市）</t>
        </is>
      </c>
      <c r="E7" s="7" t="n">
        <v>2</v>
      </c>
      <c r="F7" s="7" t="n">
        <v>266667</v>
      </c>
      <c r="G7" s="7" t="n">
        <v>266667</v>
      </c>
      <c r="H7" s="7" t="n">
        <v>266667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Bách Hóa Xanh</t>
        </is>
      </c>
      <c r="B8" s="5" t="inlineStr">
        <is>
          <t>C.P.</t>
        </is>
      </c>
      <c r="C8" s="5" t="inlineStr">
        <is>
          <t>后腿肉</t>
        </is>
      </c>
      <c r="D8" s="5" t="inlineStr">
        <is>
          <t>Bách Hóa Xanh默认门店（待固定城市）</t>
        </is>
      </c>
      <c r="E8" s="7" t="n">
        <v>2</v>
      </c>
      <c r="F8" s="7" t="n">
        <v>109000</v>
      </c>
      <c r="G8" s="7" t="n">
        <v>130000</v>
      </c>
      <c r="H8" s="7" t="n">
        <v>119500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Bách Hóa Xanh</t>
        </is>
      </c>
      <c r="B9" s="5" t="inlineStr">
        <is>
          <t>C.P.</t>
        </is>
      </c>
      <c r="C9" s="5" t="inlineStr">
        <is>
          <t>猪瘦肉</t>
        </is>
      </c>
      <c r="D9" s="5" t="inlineStr">
        <is>
          <t>Bách Hóa Xanh默认门店（待固定城市）</t>
        </is>
      </c>
      <c r="E9" s="7" t="n">
        <v>2</v>
      </c>
      <c r="F9" s="7" t="n">
        <v>132000</v>
      </c>
      <c r="G9" s="7" t="n">
        <v>140000</v>
      </c>
      <c r="H9" s="7" t="n">
        <v>136000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五花肉</t>
        </is>
      </c>
      <c r="D10" s="5" t="inlineStr">
        <is>
          <t>WinMart默认门店（待固定城市）</t>
        </is>
      </c>
      <c r="E10" s="7" t="n">
        <v>6</v>
      </c>
      <c r="F10" s="7" t="n">
        <v>199900</v>
      </c>
      <c r="G10" s="7" t="n">
        <v>199900</v>
      </c>
      <c r="H10" s="7" t="n">
        <v>199900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WinMart</t>
        </is>
      </c>
      <c r="B11" s="5" t="inlineStr">
        <is>
          <t>MEATDeli</t>
        </is>
      </c>
      <c r="C11" s="5" t="inlineStr">
        <is>
          <t>小排</t>
        </is>
      </c>
      <c r="D11" s="5" t="inlineStr">
        <is>
          <t>WinMart默认门店（待固定城市）</t>
        </is>
      </c>
      <c r="E11" s="7" t="n">
        <v>8</v>
      </c>
      <c r="F11" s="7" t="n">
        <v>287900</v>
      </c>
      <c r="G11" s="7" t="n">
        <v>287900</v>
      </c>
      <c r="H11" s="7" t="n">
        <v>287900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WinMart</t>
        </is>
      </c>
      <c r="B12" s="5" t="inlineStr">
        <is>
          <t>MEATDeli</t>
        </is>
      </c>
      <c r="C12" s="5" t="inlineStr">
        <is>
          <t>梅花肉</t>
        </is>
      </c>
      <c r="D12" s="5" t="inlineStr">
        <is>
          <t>WinMart默认门店（待固定城市）</t>
        </is>
      </c>
      <c r="E12" s="7" t="n">
        <v>3</v>
      </c>
      <c r="F12" s="7" t="n">
        <v>204900</v>
      </c>
      <c r="G12" s="7" t="n">
        <v>204900</v>
      </c>
      <c r="H12" s="7" t="n">
        <v>204900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WinMart</t>
        </is>
      </c>
      <c r="B13" s="5" t="inlineStr">
        <is>
          <t>MEATDeli</t>
        </is>
      </c>
      <c r="C13" s="5" t="inlineStr">
        <is>
          <t>肩肉</t>
        </is>
      </c>
      <c r="D13" s="5" t="inlineStr">
        <is>
          <t>WinMart默认门店（待固定城市）</t>
        </is>
      </c>
      <c r="E13" s="7" t="n">
        <v>1</v>
      </c>
      <c r="F13" s="7" t="n">
        <v>168900</v>
      </c>
      <c r="G13" s="7" t="n">
        <v>168900</v>
      </c>
      <c r="H13" s="7" t="n">
        <v>168900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9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Meatcool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10</v>
      </c>
      <c r="F15" s="7" t="n">
        <v>226000</v>
      </c>
      <c r="G15" s="7" t="n">
        <v>192100</v>
      </c>
      <c r="H15" s="7" t="n">
        <v>192100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Meatcool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9</v>
      </c>
      <c r="F16" s="7" t="n">
        <v>138889</v>
      </c>
      <c r="G16" s="7" t="n">
        <v>138889</v>
      </c>
      <c r="H16" s="7" t="n">
        <v>138889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后腿肉</t>
        </is>
      </c>
      <c r="D17" s="5" t="inlineStr">
        <is>
          <t>胡志明市/Kingfoodmart默认门店</t>
        </is>
      </c>
      <c r="E17" s="7" t="n">
        <v>7</v>
      </c>
      <c r="F17" s="7" t="n">
        <v>165000</v>
      </c>
      <c r="G17" s="7" t="n">
        <v>165000</v>
      </c>
      <c r="H17" s="7" t="n">
        <v>165000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梅花肉</t>
        </is>
      </c>
      <c r="D18" s="5" t="inlineStr">
        <is>
          <t>胡志明市/Kingfoodmart默认门店</t>
        </is>
      </c>
      <c r="E18" s="7" t="n">
        <v>7</v>
      </c>
      <c r="F18" s="7" t="n">
        <v>185000</v>
      </c>
      <c r="G18" s="7" t="n">
        <v>190000</v>
      </c>
      <c r="H18" s="7" t="n">
        <v>190000</v>
      </c>
      <c r="I18" s="9">
        <f>IF(E18&lt;2,"",G18/F18-1)</f>
        <v/>
      </c>
      <c r="J18" s="5">
        <f>IF(E18&lt;2,"积累中",IF(I18&gt;=0.01,"上涨",IF(I18&lt;=-0.01,"下降","平稳")))</f>
        <v/>
      </c>
    </row>
    <row r="19" ht="30" customHeight="1">
      <c r="A19" s="5" t="inlineStr">
        <is>
          <t>Kingfoodmart</t>
        </is>
      </c>
      <c r="B19" s="5" t="inlineStr">
        <is>
          <t>Vĩnh Tân</t>
        </is>
      </c>
      <c r="C19" s="5" t="inlineStr">
        <is>
          <t>猪排</t>
        </is>
      </c>
      <c r="D19" s="5" t="inlineStr">
        <is>
          <t>胡志明市/Kingfoodmart默认门店</t>
        </is>
      </c>
      <c r="E19" s="7" t="n">
        <v>10</v>
      </c>
      <c r="F19" s="7" t="n">
        <v>197500</v>
      </c>
      <c r="G19" s="7" t="n">
        <v>197500</v>
      </c>
      <c r="H19" s="7" t="n">
        <v>197500</v>
      </c>
      <c r="I19" s="9">
        <f>IF(E19&lt;2,"",G19/F19-1)</f>
        <v/>
      </c>
      <c r="J19" s="5">
        <f>IF(E19&lt;2,"积累中",IF(I19&gt;=0.01,"上涨",IF(I19&lt;=-0.01,"下降","平稳")))</f>
        <v/>
      </c>
    </row>
  </sheetData>
  <mergeCells count="2">
    <mergeCell ref="A1:J1"/>
    <mergeCell ref="A2:J2"/>
  </mergeCells>
  <conditionalFormatting sqref="I5:I19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2026-07-29T22:39:14Z</dcterms:created>
  <dcterms:modified xmlns:dcterms="http://purl.org/dc/terms/" xmlns:xsi="http://www.w3.org/2001/XMLSchema-instance" xsi:type="dcterms:W3CDTF">2026-07-29T22:39:14Z</dcterms:modified>
</cp:coreProperties>
</file>