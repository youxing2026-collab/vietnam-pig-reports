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cot-let-meatcool-tui-900g" TargetMode="External" Id="rId4"/><Relationship Type="http://schemas.openxmlformats.org/officeDocument/2006/relationships/hyperlink" Target="https://kingfoodmart.com/thit-heo/thit-dui-meatcool-tui-900g-ol341387" TargetMode="External" Id="rId5"/><Relationship Type="http://schemas.openxmlformats.org/officeDocument/2006/relationships/hyperlink" Target="https://kingfoodmart.com/thit-heo/nac-dam-heo-vinh-tan-khay-200g" TargetMode="External" Id="rId6"/><Relationship Type="http://schemas.openxmlformats.org/officeDocument/2006/relationships/hyperlink" Target="https://kingfoodmart.com/thit-heo/nac-cot-let-cat-vinh-tan-khay-400g-1-khay" TargetMode="External" Id="rId7"/><Relationship Type="http://schemas.openxmlformats.org/officeDocument/2006/relationships/hyperlink" Target="https://kingfoodmart.com/thit-heo/nac-dui-heo-cat-xao-vinh-tan-khay-200g" TargetMode="External" Id="rId8"/><Relationship Type="http://schemas.openxmlformats.org/officeDocument/2006/relationships/hyperlink" Target="https://winmart.vn/products/meat-deli-nac-vai-heo-s--s10140279" TargetMode="External" Id="rId9"/><Relationship Type="http://schemas.openxmlformats.org/officeDocument/2006/relationships/hyperlink" Target="https://winmart.vn/products/meat-deli-sig-suon-than-suon-non--s10281593" TargetMode="External" Id="rId10"/><Relationship Type="http://schemas.openxmlformats.org/officeDocument/2006/relationships/hyperlink" Target="https://winmart.vn/products/meat-deli-nac-dam-heo--s10617957" TargetMode="External" Id="rId11"/><Relationship Type="http://schemas.openxmlformats.org/officeDocument/2006/relationships/hyperlink" Target="https://winmart.vn/products/meat-deli-ba-roi-heo--s10617959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nac-vai-heo-s--s101402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越南猪肉零售价格日报｜2026-08-30</t>
        </is>
      </c>
    </row>
    <row r="2" ht="34" customHeight="1">
      <c r="A2" s="2" t="inlineStr">
        <is>
          <t>采集时间：越南时间 06:36。所有商品售价均统一折算为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12条在售商品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越南猪肉零售明细｜2026-08-30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350-450g</t>
        </is>
      </c>
      <c r="H6" s="5" t="inlineStr">
        <is>
          <t>冷鲜</t>
        </is>
      </c>
      <c r="I6" s="7" t="n">
        <v>450</v>
      </c>
      <c r="J6" s="7" t="n">
        <v>112050</v>
      </c>
      <c r="K6" s="7" t="n">
        <v>249000</v>
      </c>
      <c r="L6" s="7" t="n">
        <v>175555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猪排</t>
        </is>
      </c>
      <c r="G8" s="5" t="inlineStr">
        <is>
          <t>Cốt lết Meatcool 9-10 miếng/túi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https://kingfoodmart.com/thit-heo/cot-let-meatcool-tui-900g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后腿肉</t>
        </is>
      </c>
      <c r="G9" s="5" t="inlineStr">
        <is>
          <t>Thịt đùi Meatcool túi 900g</t>
        </is>
      </c>
      <c r="H9" s="5" t="inlineStr">
        <is>
          <t>冷鲜</t>
        </is>
      </c>
      <c r="I9" s="7" t="n">
        <v>900</v>
      </c>
      <c r="J9" s="7" t="n">
        <v>125000</v>
      </c>
      <c r="K9" s="7" t="n">
        <v>138889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https://kingfoodmart.com/thit-heo/thit-dui-meatcool-tui-900g-ol341387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梅花肉</t>
        </is>
      </c>
      <c r="G10" s="5" t="inlineStr">
        <is>
          <t>Nạc dăm heo Vĩnh Tân khay 200g</t>
        </is>
      </c>
      <c r="H10" s="5" t="inlineStr">
        <is>
          <t>冷鲜</t>
        </is>
      </c>
      <c r="I10" s="7" t="n">
        <v>200</v>
      </c>
      <c r="J10" s="7" t="n">
        <v>38000</v>
      </c>
      <c r="K10" s="7" t="n">
        <v>190000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https://kingfoodmart.com/thit-heo/nac-dam-heo-vinh-tan-khay-200g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猪排</t>
        </is>
      </c>
      <c r="G11" s="5" t="inlineStr">
        <is>
          <t>Nạc cốt lết cắt Vĩnh Tân khay 400g</t>
        </is>
      </c>
      <c r="H11" s="5" t="inlineStr">
        <is>
          <t>冷鲜</t>
        </is>
      </c>
      <c r="I11" s="7" t="n">
        <v>400</v>
      </c>
      <c r="J11" s="7" t="n">
        <v>79000</v>
      </c>
      <c r="K11" s="7" t="n">
        <v>197500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https://kingfoodmart.com/thit-heo/nac-cot-let-cat-vinh-tan-khay-400g-1-khay</t>
        </is>
      </c>
    </row>
    <row r="12" ht="32" customHeight="1">
      <c r="A12" s="5" t="inlineStr">
        <is>
          <t>南部</t>
        </is>
      </c>
      <c r="B12" s="5" t="inlineStr">
        <is>
          <t>胡志明市/Kingfoodmart默认门店</t>
        </is>
      </c>
      <c r="C12" s="5" t="inlineStr">
        <is>
          <t>Kingfoodmart</t>
        </is>
      </c>
      <c r="D12" s="5" t="inlineStr">
        <is>
          <t>Vĩnh Tân</t>
        </is>
      </c>
      <c r="E12" s="5" t="inlineStr">
        <is>
          <t>Vĩnh Tân</t>
        </is>
      </c>
      <c r="F12" s="5" t="inlineStr">
        <is>
          <t>后腿肉</t>
        </is>
      </c>
      <c r="G12" s="5" t="inlineStr">
        <is>
          <t>Nạc đùi heo cắt xào Vĩnh Tân khay 200g</t>
        </is>
      </c>
      <c r="H12" s="5" t="inlineStr">
        <is>
          <t>冷鲜</t>
        </is>
      </c>
      <c r="I12" s="7" t="n">
        <v>200</v>
      </c>
      <c r="J12" s="7" t="n">
        <v>33000</v>
      </c>
      <c r="K12" s="7" t="n">
        <v>165000</v>
      </c>
      <c r="L12" s="7" t="n"/>
      <c r="M12" s="7">
        <f>IF(L12&lt;&gt;"",L12,K12)</f>
        <v/>
      </c>
      <c r="N12" s="5" t="inlineStr">
        <is>
          <t>中：交易页含价格/重量/库存，但尚未锁定具体门店</t>
        </is>
      </c>
      <c r="O12" s="8" t="inlineStr">
        <is>
          <t>https://kingfoodmart.com/thit-heo/nac-dui-heo-cat-xao-vinh-tan-khay-200g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肩肉</t>
        </is>
      </c>
      <c r="G13" s="5" t="inlineStr">
        <is>
          <t>MEATDELI Thịt Nạc vai heo (S)</t>
        </is>
      </c>
      <c r="H13" s="5" t="inlineStr">
        <is>
          <t>冷鲜</t>
        </is>
      </c>
      <c r="I13" s="7" t="n">
        <v>440</v>
      </c>
      <c r="J13" s="7" t="n">
        <v>74316</v>
      </c>
      <c r="K13" s="7" t="n">
        <v>168900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https://winmart.vn/products/meat-deli-nac-vai-heo-s--s10140279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小排</t>
        </is>
      </c>
      <c r="G14" s="5" t="inlineStr">
        <is>
          <t>MEATDELI [PRE] Thịt Sườn thăn (sườn non) (S)</t>
        </is>
      </c>
      <c r="H14" s="5" t="inlineStr">
        <is>
          <t>冷鲜</t>
        </is>
      </c>
      <c r="I14" s="7" t="n">
        <v>431</v>
      </c>
      <c r="J14" s="7" t="n">
        <v>124085</v>
      </c>
      <c r="K14" s="7" t="n">
        <v>287900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https://winmart.vn/products/meat-deli-sig-suon-than-suon-non--s10281593</t>
        </is>
      </c>
    </row>
    <row r="15" ht="32" customHeight="1">
      <c r="A15" s="5" t="inlineStr">
        <is>
          <t>全国渠道</t>
        </is>
      </c>
      <c r="B15" s="5" t="inlineStr">
        <is>
          <t>WinMart默认门店（待固定城市）</t>
        </is>
      </c>
      <c r="C15" s="5" t="inlineStr">
        <is>
          <t>WinMart</t>
        </is>
      </c>
      <c r="D15" s="5" t="inlineStr">
        <is>
          <t>Masan</t>
        </is>
      </c>
      <c r="E15" s="5" t="inlineStr">
        <is>
          <t>MEATDeli</t>
        </is>
      </c>
      <c r="F15" s="5" t="inlineStr">
        <is>
          <t>梅花肉</t>
        </is>
      </c>
      <c r="G15" s="5" t="inlineStr">
        <is>
          <t>MEATDELI Thịt Nạc dăm heo (Thịt Nạc vai) (S)</t>
        </is>
      </c>
      <c r="H15" s="5" t="inlineStr">
        <is>
          <t>冷鲜</t>
        </is>
      </c>
      <c r="I15" s="7" t="n">
        <v>400</v>
      </c>
      <c r="J15" s="7" t="n">
        <v>81960</v>
      </c>
      <c r="K15" s="7" t="n">
        <v>204900</v>
      </c>
      <c r="L15" s="7" t="n"/>
      <c r="M15" s="7">
        <f>IF(L15&lt;&gt;"",L15,K15)</f>
        <v/>
      </c>
      <c r="N15" s="5" t="inlineStr">
        <is>
          <t>中：官方交易页，但尚未固定配送门店</t>
        </is>
      </c>
      <c r="O15" s="8" t="inlineStr">
        <is>
          <t>https://winmart.vn/products/meat-deli-nac-dam-heo--s10617957</t>
        </is>
      </c>
    </row>
    <row r="16" ht="32" customHeight="1">
      <c r="A16" s="5" t="inlineStr">
        <is>
          <t>全国渠道</t>
        </is>
      </c>
      <c r="B16" s="5" t="inlineStr">
        <is>
          <t>WinMart默认门店（待固定城市）</t>
        </is>
      </c>
      <c r="C16" s="5" t="inlineStr">
        <is>
          <t>WinMart</t>
        </is>
      </c>
      <c r="D16" s="5" t="inlineStr">
        <is>
          <t>Masan</t>
        </is>
      </c>
      <c r="E16" s="5" t="inlineStr">
        <is>
          <t>MEATDeli</t>
        </is>
      </c>
      <c r="F16" s="5" t="inlineStr">
        <is>
          <t>五花肉</t>
        </is>
      </c>
      <c r="G16" s="5" t="inlineStr">
        <is>
          <t>MEATDELI Thịt Ba Rọi heo (S)</t>
        </is>
      </c>
      <c r="H16" s="5" t="inlineStr">
        <is>
          <t>冷鲜</t>
        </is>
      </c>
      <c r="I16" s="7" t="n">
        <v>385</v>
      </c>
      <c r="J16" s="7" t="n">
        <v>76962</v>
      </c>
      <c r="K16" s="7" t="n">
        <v>199900</v>
      </c>
      <c r="L16" s="7" t="n"/>
      <c r="M16" s="7">
        <f>IF(L16&lt;&gt;"",L16,K16)</f>
        <v/>
      </c>
      <c r="N16" s="5" t="inlineStr">
        <is>
          <t>中：官方交易页，但尚未固定配送门店</t>
        </is>
      </c>
      <c r="O16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6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五花肉</t>
        </is>
      </c>
      <c r="D5" s="5" t="inlineStr">
        <is>
          <t>胡志明市/Kingfoodmart默认门店</t>
        </is>
      </c>
      <c r="E5" s="7" t="n">
        <v>1</v>
      </c>
      <c r="F5" s="7" t="n">
        <v>263333</v>
      </c>
      <c r="G5" s="7" t="n">
        <v>263333</v>
      </c>
      <c r="H5" s="7" t="n">
        <v>263333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Kingfoodmart</t>
        </is>
      </c>
      <c r="B6" s="5" t="inlineStr">
        <is>
          <t>BAF</t>
        </is>
      </c>
      <c r="C6" s="5" t="inlineStr">
        <is>
          <t>梅花肉</t>
        </is>
      </c>
      <c r="D6" s="5" t="inlineStr">
        <is>
          <t>胡志明市/Kingfoodmart默认门店</t>
        </is>
      </c>
      <c r="E6" s="7" t="n">
        <v>28</v>
      </c>
      <c r="F6" s="7" t="n">
        <v>246667</v>
      </c>
      <c r="G6" s="7" t="n">
        <v>246667</v>
      </c>
      <c r="H6" s="7" t="n">
        <v>246667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五花肉</t>
        </is>
      </c>
      <c r="D7" s="5" t="inlineStr">
        <is>
          <t>WinMart默认门店（待固定城市）</t>
        </is>
      </c>
      <c r="E7" s="7" t="n">
        <v>16</v>
      </c>
      <c r="F7" s="7" t="n">
        <v>199900</v>
      </c>
      <c r="G7" s="7" t="n">
        <v>199900</v>
      </c>
      <c r="H7" s="7" t="n">
        <v>199900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小排</t>
        </is>
      </c>
      <c r="D8" s="5" t="inlineStr">
        <is>
          <t>WinMart默认门店（待固定城市）</t>
        </is>
      </c>
      <c r="E8" s="7" t="n">
        <v>29</v>
      </c>
      <c r="F8" s="7" t="n">
        <v>287900</v>
      </c>
      <c r="G8" s="7" t="n">
        <v>287900</v>
      </c>
      <c r="H8" s="7" t="n">
        <v>287900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梅花肉</t>
        </is>
      </c>
      <c r="D9" s="5" t="inlineStr">
        <is>
          <t>WinMart默认门店（待固定城市）</t>
        </is>
      </c>
      <c r="E9" s="7" t="n">
        <v>7</v>
      </c>
      <c r="F9" s="7" t="n">
        <v>204900</v>
      </c>
      <c r="G9" s="7" t="n">
        <v>204900</v>
      </c>
      <c r="H9" s="7" t="n">
        <v>204900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WinMart</t>
        </is>
      </c>
      <c r="B10" s="5" t="inlineStr">
        <is>
          <t>MEATDeli</t>
        </is>
      </c>
      <c r="C10" s="5" t="inlineStr">
        <is>
          <t>肩肉</t>
        </is>
      </c>
      <c r="D10" s="5" t="inlineStr">
        <is>
          <t>WinMart默认门店（待固定城市）</t>
        </is>
      </c>
      <c r="E10" s="7" t="n">
        <v>6</v>
      </c>
      <c r="F10" s="7" t="n">
        <v>168900</v>
      </c>
      <c r="G10" s="7" t="n">
        <v>168900</v>
      </c>
      <c r="H10" s="7" t="n">
        <v>168900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五花肉</t>
        </is>
      </c>
      <c r="D11" s="5" t="inlineStr">
        <is>
          <t>胡志明市/Kingfoodmart默认门店</t>
        </is>
      </c>
      <c r="E11" s="7" t="n">
        <v>7</v>
      </c>
      <c r="F11" s="7" t="n">
        <v>195000</v>
      </c>
      <c r="G11" s="7" t="n">
        <v>175555</v>
      </c>
      <c r="H11" s="7" t="n">
        <v>195000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后腿肉</t>
        </is>
      </c>
      <c r="D12" s="5" t="inlineStr">
        <is>
          <t>胡志明市/Kingfoodmart默认门店</t>
        </is>
      </c>
      <c r="E12" s="7" t="n">
        <v>27</v>
      </c>
      <c r="F12" s="7" t="n">
        <v>138889</v>
      </c>
      <c r="G12" s="7" t="n">
        <v>138889</v>
      </c>
      <c r="H12" s="7" t="n">
        <v>138889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梅花肉</t>
        </is>
      </c>
      <c r="D13" s="5" t="inlineStr">
        <is>
          <t>胡志明市/Kingfoodmart默认门店</t>
        </is>
      </c>
      <c r="E13" s="7" t="n">
        <v>28</v>
      </c>
      <c r="F13" s="7" t="n">
        <v>192100</v>
      </c>
      <c r="G13" s="7" t="n">
        <v>192100</v>
      </c>
      <c r="H13" s="7" t="n">
        <v>192100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Meatcool</t>
        </is>
      </c>
      <c r="C14" s="5" t="inlineStr">
        <is>
          <t>猪排</t>
        </is>
      </c>
      <c r="D14" s="5" t="inlineStr">
        <is>
          <t>胡志明市/Kingfoodmart默认门店</t>
        </is>
      </c>
      <c r="E14" s="7" t="n">
        <v>28</v>
      </c>
      <c r="F14" s="7" t="n">
        <v>138889</v>
      </c>
      <c r="G14" s="7" t="n">
        <v>138889</v>
      </c>
      <c r="H14" s="7" t="n">
        <v>138889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五花肉</t>
        </is>
      </c>
      <c r="D15" s="5" t="inlineStr">
        <is>
          <t>胡志明市/Kingfoodmart默认门店</t>
        </is>
      </c>
      <c r="E15" s="7" t="n">
        <v>1</v>
      </c>
      <c r="F15" s="7" t="n">
        <v>222500</v>
      </c>
      <c r="G15" s="7" t="n">
        <v>222500</v>
      </c>
      <c r="H15" s="7" t="n">
        <v>222500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后腿肉</t>
        </is>
      </c>
      <c r="D16" s="5" t="inlineStr">
        <is>
          <t>胡志明市/Kingfoodmart默认门店</t>
        </is>
      </c>
      <c r="E16" s="7" t="n">
        <v>21</v>
      </c>
      <c r="F16" s="7" t="n">
        <v>165000</v>
      </c>
      <c r="G16" s="7" t="n">
        <v>165000</v>
      </c>
      <c r="H16" s="7" t="n">
        <v>165000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梅花肉</t>
        </is>
      </c>
      <c r="D17" s="5" t="inlineStr">
        <is>
          <t>胡志明市/Kingfoodmart默认门店</t>
        </is>
      </c>
      <c r="E17" s="7" t="n">
        <v>28</v>
      </c>
      <c r="F17" s="7" t="n">
        <v>190000</v>
      </c>
      <c r="G17" s="7" t="n">
        <v>190000</v>
      </c>
      <c r="H17" s="7" t="n">
        <v>190000</v>
      </c>
      <c r="I17" s="9">
        <f>IF(E17&lt;2,"",G17/F17-1)</f>
        <v/>
      </c>
      <c r="J17" s="5">
        <f>IF(E17&lt;2,"积累中",IF(I17&gt;=0.01,"上涨",IF(I17&lt;=-0.01,"下降","平稳")))</f>
        <v/>
      </c>
    </row>
    <row r="18" ht="30" customHeight="1">
      <c r="A18" s="5" t="inlineStr">
        <is>
          <t>Kingfoodmart</t>
        </is>
      </c>
      <c r="B18" s="5" t="inlineStr">
        <is>
          <t>Vĩnh Tân</t>
        </is>
      </c>
      <c r="C18" s="5" t="inlineStr">
        <is>
          <t>猪排</t>
        </is>
      </c>
      <c r="D18" s="5" t="inlineStr">
        <is>
          <t>胡志明市/Kingfoodmart默认门店</t>
        </is>
      </c>
      <c r="E18" s="7" t="n">
        <v>28</v>
      </c>
      <c r="F18" s="7" t="n">
        <v>197500</v>
      </c>
      <c r="G18" s="7" t="n">
        <v>197500</v>
      </c>
      <c r="H18" s="7" t="n">
        <v>197500</v>
      </c>
      <c r="I18" s="9">
        <f>IF(E18&lt;2,"",G18/F18-1)</f>
        <v/>
      </c>
      <c r="J18" s="5">
        <f>IF(E18&lt;2,"积累中",IF(I18&gt;=0.01,"上涨",IF(I18&lt;=-0.01,"下降","平稳")))</f>
        <v/>
      </c>
    </row>
  </sheetData>
  <mergeCells count="2">
    <mergeCell ref="A1:J1"/>
    <mergeCell ref="A2:J2"/>
  </mergeCells>
  <conditionalFormatting sqref="I5:I18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2026-08-29T23:36:09Z</dcterms:created>
  <dcterms:modified xmlns:dcterms="http://purl.org/dc/terms/" xmlns:xsi="http://www.w3.org/2001/XMLSchema-instance" xsi:type="dcterms:W3CDTF">2026-08-29T23:36:09Z</dcterms:modified>
</cp:coreProperties>
</file>