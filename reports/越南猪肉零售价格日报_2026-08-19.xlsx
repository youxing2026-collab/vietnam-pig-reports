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cot-let-meatcool-tui-900g" TargetMode="External" Id="rId3"/><Relationship Type="http://schemas.openxmlformats.org/officeDocument/2006/relationships/hyperlink" Target="https://kingfoodmart.com/thit-heo/thit-dui-meatcool-tui-900g" TargetMode="External" Id="rId4"/><Relationship Type="http://schemas.openxmlformats.org/officeDocument/2006/relationships/hyperlink" Target="https://kingfoodmart.com/thit-heo/nac-dam-heo-vinh-tan-400g-1-khay-63124" TargetMode="External" Id="rId5"/><Relationship Type="http://schemas.openxmlformats.org/officeDocument/2006/relationships/hyperlink" Target="https://kingfoodmart.com/thit-heo/nac-cot-let-cat-vinh-tan-khay-400g-1-khay" TargetMode="External" Id="rId6"/><Relationship Type="http://schemas.openxmlformats.org/officeDocument/2006/relationships/hyperlink" Target="https://kingfoodmart.com/thit-heo/nac-dui-heo-cat-xao-vinh-tan-khay-200g" TargetMode="External" Id="rId7"/><Relationship Type="http://schemas.openxmlformats.org/officeDocument/2006/relationships/hyperlink" Target="https://winmart.vn/products/meat-deli-sig-suon-than-suon-non--s10281593" TargetMode="External" Id="rId8"/><Relationship Type="http://schemas.openxmlformats.org/officeDocument/2006/relationships/hyperlink" Target="https://winmart.vn/products/meat-deli-ba-roi-heo--s10617959" TargetMode="External" Id="rId9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nac-dam-heo-vinh-tan-400g-1-khay-63124" TargetMode="External" Id="rId3"/><Relationship Type="http://schemas.openxmlformats.org/officeDocument/2006/relationships/hyperlink" Target="https://winmart.vn/products/meat-deli-sig-suon-than-suon-non--s1028159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越南猪肉零售价格日报｜2026-08-19</t>
        </is>
      </c>
    </row>
    <row r="2" ht="34" customHeight="1">
      <c r="A2" s="2" t="inlineStr">
        <is>
          <t>采集时间：越南时间 04:57。所有商品售价均统一折算为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9条在售商品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4个</t>
        </is>
      </c>
      <c r="C6" s="5" t="inlineStr">
        <is>
          <t>BAF、MEATDeli、Meatcool、Vĩnh Tân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12组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越南猪肉零售明细｜2026-08-19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梅花肉</t>
        </is>
      </c>
      <c r="G5" s="5" t="inlineStr">
        <is>
          <t>Nạc dăm heo Meatcool 360-440g</t>
        </is>
      </c>
      <c r="H5" s="5" t="inlineStr">
        <is>
          <t>冷鲜</t>
        </is>
      </c>
      <c r="I5" s="7" t="n">
        <v>400</v>
      </c>
      <c r="J5" s="7" t="n">
        <v>90400</v>
      </c>
      <c r="K5" s="7" t="n">
        <v>226000</v>
      </c>
      <c r="L5" s="7" t="n">
        <v>192100</v>
      </c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https://kingfoodmart.com/thit-heo/nac-dam-heo-meatcool-400g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BAF</t>
        </is>
      </c>
      <c r="E6" s="5" t="inlineStr">
        <is>
          <t>BAF</t>
        </is>
      </c>
      <c r="F6" s="5" t="inlineStr">
        <is>
          <t>梅花肉</t>
        </is>
      </c>
      <c r="G6" s="5" t="inlineStr">
        <is>
          <t>Nạc dăm heo BAF khay 300g</t>
        </is>
      </c>
      <c r="H6" s="5" t="inlineStr">
        <is>
          <t>冷鲜</t>
        </is>
      </c>
      <c r="I6" s="7" t="n">
        <v>300</v>
      </c>
      <c r="J6" s="7" t="n">
        <v>74000</v>
      </c>
      <c r="K6" s="7" t="n">
        <v>246667</v>
      </c>
      <c r="L6" s="7" t="n"/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https://kingfoodmart.com/thit-heo/nac-dam-heo-baf-khay-300g-1-khay</t>
        </is>
      </c>
    </row>
    <row r="7" ht="32" customHeight="1">
      <c r="A7" s="5" t="inlineStr">
        <is>
          <t>南部</t>
        </is>
      </c>
      <c r="B7" s="5" t="inlineStr">
        <is>
          <t>胡志明市/Kingfoodmart默认门店</t>
        </is>
      </c>
      <c r="C7" s="5" t="inlineStr">
        <is>
          <t>Kingfoodmart</t>
        </is>
      </c>
      <c r="D7" s="5" t="inlineStr">
        <is>
          <t>GREENFEED</t>
        </is>
      </c>
      <c r="E7" s="5" t="inlineStr">
        <is>
          <t>Meatcool</t>
        </is>
      </c>
      <c r="F7" s="5" t="inlineStr">
        <is>
          <t>猪排</t>
        </is>
      </c>
      <c r="G7" s="5" t="inlineStr">
        <is>
          <t>Cốt lết Meatcool 9-10 miếng/túi 900g</t>
        </is>
      </c>
      <c r="H7" s="5" t="inlineStr">
        <is>
          <t>冷鲜</t>
        </is>
      </c>
      <c r="I7" s="7" t="n">
        <v>900</v>
      </c>
      <c r="J7" s="7" t="n">
        <v>125000</v>
      </c>
      <c r="K7" s="7" t="n">
        <v>138889</v>
      </c>
      <c r="L7" s="7" t="n"/>
      <c r="M7" s="7">
        <f>IF(L7&lt;&gt;"",L7,K7)</f>
        <v/>
      </c>
      <c r="N7" s="5" t="inlineStr">
        <is>
          <t>中：交易页含价格/重量/库存，但尚未锁定具体门店</t>
        </is>
      </c>
      <c r="O7" s="8" t="inlineStr">
        <is>
          <t>https://kingfoodmart.com/thit-heo/cot-let-meatcool-tui-900g</t>
        </is>
      </c>
    </row>
    <row r="8" ht="32" customHeight="1">
      <c r="A8" s="5" t="inlineStr">
        <is>
          <t>南部</t>
        </is>
      </c>
      <c r="B8" s="5" t="inlineStr">
        <is>
          <t>胡志明市/Kingfoodmart默认门店</t>
        </is>
      </c>
      <c r="C8" s="5" t="inlineStr">
        <is>
          <t>Kingfoodmart</t>
        </is>
      </c>
      <c r="D8" s="5" t="inlineStr">
        <is>
          <t>GREENFEED</t>
        </is>
      </c>
      <c r="E8" s="5" t="inlineStr">
        <is>
          <t>Meatcool</t>
        </is>
      </c>
      <c r="F8" s="5" t="inlineStr">
        <is>
          <t>后腿肉</t>
        </is>
      </c>
      <c r="G8" s="5" t="inlineStr">
        <is>
          <t>Thịt đùi Meatcool túi 900g</t>
        </is>
      </c>
      <c r="H8" s="5" t="inlineStr">
        <is>
          <t>冷鲜</t>
        </is>
      </c>
      <c r="I8" s="7" t="n">
        <v>900</v>
      </c>
      <c r="J8" s="7" t="n">
        <v>125000</v>
      </c>
      <c r="K8" s="7" t="n">
        <v>138889</v>
      </c>
      <c r="L8" s="7" t="n"/>
      <c r="M8" s="7">
        <f>IF(L8&lt;&gt;"",L8,K8)</f>
        <v/>
      </c>
      <c r="N8" s="5" t="inlineStr">
        <is>
          <t>中：交易页含价格/重量/库存，但尚未锁定具体门店</t>
        </is>
      </c>
      <c r="O8" s="8" t="inlineStr">
        <is>
          <t>https://kingfoodmart.com/thit-heo/thit-dui-meatcool-tui-900g</t>
        </is>
      </c>
    </row>
    <row r="9" ht="32" customHeight="1">
      <c r="A9" s="5" t="inlineStr">
        <is>
          <t>南部</t>
        </is>
      </c>
      <c r="B9" s="5" t="inlineStr">
        <is>
          <t>胡志明市/Kingfoodmart默认门店</t>
        </is>
      </c>
      <c r="C9" s="5" t="inlineStr">
        <is>
          <t>Kingfoodmart</t>
        </is>
      </c>
      <c r="D9" s="5" t="inlineStr">
        <is>
          <t>Vĩnh Tân</t>
        </is>
      </c>
      <c r="E9" s="5" t="inlineStr">
        <is>
          <t>Vĩnh Tân</t>
        </is>
      </c>
      <c r="F9" s="5" t="inlineStr">
        <is>
          <t>梅花肉</t>
        </is>
      </c>
      <c r="G9" s="5" t="inlineStr">
        <is>
          <t>Nạc dăm heo Vĩnh Tân 400g</t>
        </is>
      </c>
      <c r="H9" s="5" t="inlineStr">
        <is>
          <t>冷鲜</t>
        </is>
      </c>
      <c r="I9" s="7" t="n">
        <v>400</v>
      </c>
      <c r="J9" s="7" t="n">
        <v>77000</v>
      </c>
      <c r="K9" s="7" t="n">
        <v>192500</v>
      </c>
      <c r="L9" s="7" t="n"/>
      <c r="M9" s="7">
        <f>IF(L9&lt;&gt;"",L9,K9)</f>
        <v/>
      </c>
      <c r="N9" s="5" t="inlineStr">
        <is>
          <t>中：交易页含价格/重量/库存，但尚未锁定具体门店</t>
        </is>
      </c>
      <c r="O9" s="8" t="inlineStr">
        <is>
          <t>https://kingfoodmart.com/thit-heo/nac-dam-heo-vinh-tan-400g-1-khay-63124</t>
        </is>
      </c>
    </row>
    <row r="10" ht="32" customHeight="1">
      <c r="A10" s="5" t="inlineStr">
        <is>
          <t>南部</t>
        </is>
      </c>
      <c r="B10" s="5" t="inlineStr">
        <is>
          <t>胡志明市/Kingfoodmart默认门店</t>
        </is>
      </c>
      <c r="C10" s="5" t="inlineStr">
        <is>
          <t>Kingfoodmart</t>
        </is>
      </c>
      <c r="D10" s="5" t="inlineStr">
        <is>
          <t>Vĩnh Tân</t>
        </is>
      </c>
      <c r="E10" s="5" t="inlineStr">
        <is>
          <t>Vĩnh Tân</t>
        </is>
      </c>
      <c r="F10" s="5" t="inlineStr">
        <is>
          <t>猪排</t>
        </is>
      </c>
      <c r="G10" s="5" t="inlineStr">
        <is>
          <t>Nạc cốt lết cắt Vĩnh Tân khay 400g</t>
        </is>
      </c>
      <c r="H10" s="5" t="inlineStr">
        <is>
          <t>冷鲜</t>
        </is>
      </c>
      <c r="I10" s="7" t="n">
        <v>400</v>
      </c>
      <c r="J10" s="7" t="n">
        <v>79000</v>
      </c>
      <c r="K10" s="7" t="n">
        <v>197500</v>
      </c>
      <c r="L10" s="7" t="n"/>
      <c r="M10" s="7">
        <f>IF(L10&lt;&gt;"",L10,K10)</f>
        <v/>
      </c>
      <c r="N10" s="5" t="inlineStr">
        <is>
          <t>中：交易页含价格/重量/库存，但尚未锁定具体门店</t>
        </is>
      </c>
      <c r="O10" s="8" t="inlineStr">
        <is>
          <t>https://kingfoodmart.com/thit-heo/nac-cot-let-cat-vinh-tan-khay-400g-1-khay</t>
        </is>
      </c>
    </row>
    <row r="11" ht="32" customHeight="1">
      <c r="A11" s="5" t="inlineStr">
        <is>
          <t>南部</t>
        </is>
      </c>
      <c r="B11" s="5" t="inlineStr">
        <is>
          <t>胡志明市/Kingfoodmart默认门店</t>
        </is>
      </c>
      <c r="C11" s="5" t="inlineStr">
        <is>
          <t>Kingfoodmart</t>
        </is>
      </c>
      <c r="D11" s="5" t="inlineStr">
        <is>
          <t>Vĩnh Tân</t>
        </is>
      </c>
      <c r="E11" s="5" t="inlineStr">
        <is>
          <t>Vĩnh Tân</t>
        </is>
      </c>
      <c r="F11" s="5" t="inlineStr">
        <is>
          <t>后腿肉</t>
        </is>
      </c>
      <c r="G11" s="5" t="inlineStr">
        <is>
          <t>Nạc đùi heo cắt xào Vĩnh Tân khay 200g</t>
        </is>
      </c>
      <c r="H11" s="5" t="inlineStr">
        <is>
          <t>冷鲜</t>
        </is>
      </c>
      <c r="I11" s="7" t="n">
        <v>200</v>
      </c>
      <c r="J11" s="7" t="n">
        <v>33000</v>
      </c>
      <c r="K11" s="7" t="n">
        <v>165000</v>
      </c>
      <c r="L11" s="7" t="n"/>
      <c r="M11" s="7">
        <f>IF(L11&lt;&gt;"",L11,K11)</f>
        <v/>
      </c>
      <c r="N11" s="5" t="inlineStr">
        <is>
          <t>中：交易页含价格/重量/库存，但尚未锁定具体门店</t>
        </is>
      </c>
      <c r="O11" s="8" t="inlineStr">
        <is>
          <t>https://kingfoodmart.com/thit-heo/nac-dui-heo-cat-xao-vinh-tan-khay-200g</t>
        </is>
      </c>
    </row>
    <row r="12" ht="32" customHeight="1">
      <c r="A12" s="5" t="inlineStr">
        <is>
          <t>全国渠道</t>
        </is>
      </c>
      <c r="B12" s="5" t="inlineStr">
        <is>
          <t>WinMart默认门店（待固定城市）</t>
        </is>
      </c>
      <c r="C12" s="5" t="inlineStr">
        <is>
          <t>WinMart</t>
        </is>
      </c>
      <c r="D12" s="5" t="inlineStr">
        <is>
          <t>Masan</t>
        </is>
      </c>
      <c r="E12" s="5" t="inlineStr">
        <is>
          <t>MEATDeli</t>
        </is>
      </c>
      <c r="F12" s="5" t="inlineStr">
        <is>
          <t>小排</t>
        </is>
      </c>
      <c r="G12" s="5" t="inlineStr">
        <is>
          <t>MEATDELI [PRE] Thịt Sườn thăn (sườn non) (S)</t>
        </is>
      </c>
      <c r="H12" s="5" t="inlineStr">
        <is>
          <t>冷鲜</t>
        </is>
      </c>
      <c r="I12" s="7" t="n">
        <v>431</v>
      </c>
      <c r="J12" s="7" t="n">
        <v>124085</v>
      </c>
      <c r="K12" s="7" t="n">
        <v>287900</v>
      </c>
      <c r="L12" s="7" t="n"/>
      <c r="M12" s="7">
        <f>IF(L12&lt;&gt;"",L12,K12)</f>
        <v/>
      </c>
      <c r="N12" s="5" t="inlineStr">
        <is>
          <t>中：官方交易页，但尚未固定配送门店</t>
        </is>
      </c>
      <c r="O12" s="8" t="inlineStr">
        <is>
          <t>https://winmart.vn/products/meat-deli-sig-suon-than-suon-non--s10281593</t>
        </is>
      </c>
    </row>
    <row r="13" ht="32" customHeight="1">
      <c r="A13" s="5" t="inlineStr">
        <is>
          <t>全国渠道</t>
        </is>
      </c>
      <c r="B13" s="5" t="inlineStr">
        <is>
          <t>WinMart默认门店（待固定城市）</t>
        </is>
      </c>
      <c r="C13" s="5" t="inlineStr">
        <is>
          <t>WinMart</t>
        </is>
      </c>
      <c r="D13" s="5" t="inlineStr">
        <is>
          <t>Masan</t>
        </is>
      </c>
      <c r="E13" s="5" t="inlineStr">
        <is>
          <t>MEATDeli</t>
        </is>
      </c>
      <c r="F13" s="5" t="inlineStr">
        <is>
          <t>五花肉</t>
        </is>
      </c>
      <c r="G13" s="5" t="inlineStr">
        <is>
          <t>MEATDELI Thịt Ba Rọi heo (S)</t>
        </is>
      </c>
      <c r="H13" s="5" t="inlineStr">
        <is>
          <t>冷鲜</t>
        </is>
      </c>
      <c r="I13" s="7" t="n">
        <v>385</v>
      </c>
      <c r="J13" s="7" t="n">
        <v>76962</v>
      </c>
      <c r="K13" s="7" t="n">
        <v>199900</v>
      </c>
      <c r="L13" s="7" t="n"/>
      <c r="M13" s="7">
        <f>IF(L13&lt;&gt;"",L13,K13)</f>
        <v/>
      </c>
      <c r="N13" s="5" t="inlineStr">
        <is>
          <t>中：官方交易页，但尚未固定配送门店</t>
        </is>
      </c>
      <c r="O13" s="8" t="inlineStr">
        <is>
          <t>https://winmart.vn/products/meat-deli-ba-roi-heo--s10617959</t>
        </is>
      </c>
    </row>
  </sheetData>
  <mergeCells count="2">
    <mergeCell ref="A1:O1"/>
    <mergeCell ref="A2:O2"/>
  </mergeCells>
  <conditionalFormatting sqref="M5:M13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2026年8月同口径月度变化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19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WinMart</t>
        </is>
      </c>
      <c r="B6" s="5" t="inlineStr">
        <is>
          <t>MEATDeli</t>
        </is>
      </c>
      <c r="C6" s="5" t="inlineStr">
        <is>
          <t>五花肉</t>
        </is>
      </c>
      <c r="D6" s="5" t="inlineStr">
        <is>
          <t>WinMart默认门店（待固定城市）</t>
        </is>
      </c>
      <c r="E6" s="7" t="n">
        <v>9</v>
      </c>
      <c r="F6" s="7" t="n">
        <v>199900</v>
      </c>
      <c r="G6" s="7" t="n">
        <v>199900</v>
      </c>
      <c r="H6" s="7" t="n">
        <v>199900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WinMart</t>
        </is>
      </c>
      <c r="B7" s="5" t="inlineStr">
        <is>
          <t>MEATDeli</t>
        </is>
      </c>
      <c r="C7" s="5" t="inlineStr">
        <is>
          <t>小排</t>
        </is>
      </c>
      <c r="D7" s="5" t="inlineStr">
        <is>
          <t>WinMart默认门店（待固定城市）</t>
        </is>
      </c>
      <c r="E7" s="7" t="n">
        <v>18</v>
      </c>
      <c r="F7" s="7" t="n">
        <v>287900</v>
      </c>
      <c r="G7" s="7" t="n">
        <v>287900</v>
      </c>
      <c r="H7" s="7" t="n">
        <v>287900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WinMart</t>
        </is>
      </c>
      <c r="B8" s="5" t="inlineStr">
        <is>
          <t>MEATDeli</t>
        </is>
      </c>
      <c r="C8" s="5" t="inlineStr">
        <is>
          <t>梅花肉</t>
        </is>
      </c>
      <c r="D8" s="5" t="inlineStr">
        <is>
          <t>WinMart默认门店（待固定城市）</t>
        </is>
      </c>
      <c r="E8" s="7" t="n">
        <v>2</v>
      </c>
      <c r="F8" s="7" t="n">
        <v>204900</v>
      </c>
      <c r="G8" s="7" t="n">
        <v>204900</v>
      </c>
      <c r="H8" s="7" t="n">
        <v>204900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WinMart</t>
        </is>
      </c>
      <c r="B9" s="5" t="inlineStr">
        <is>
          <t>MEATDeli</t>
        </is>
      </c>
      <c r="C9" s="5" t="inlineStr">
        <is>
          <t>肩肉</t>
        </is>
      </c>
      <c r="D9" s="5" t="inlineStr">
        <is>
          <t>WinMart默认门店（待固定城市）</t>
        </is>
      </c>
      <c r="E9" s="7" t="n">
        <v>2</v>
      </c>
      <c r="F9" s="7" t="n">
        <v>168900</v>
      </c>
      <c r="G9" s="7" t="n">
        <v>168900</v>
      </c>
      <c r="H9" s="7" t="n">
        <v>168900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Kingfoodmart</t>
        </is>
      </c>
      <c r="B10" s="5" t="inlineStr">
        <is>
          <t>Meatcool</t>
        </is>
      </c>
      <c r="C10" s="5" t="inlineStr">
        <is>
          <t>五花肉</t>
        </is>
      </c>
      <c r="D10" s="5" t="inlineStr">
        <is>
          <t>胡志明市/Kingfoodmart默认门店</t>
        </is>
      </c>
      <c r="E10" s="7" t="n">
        <v>4</v>
      </c>
      <c r="F10" s="7" t="n">
        <v>195000</v>
      </c>
      <c r="G10" s="7" t="n">
        <v>195000</v>
      </c>
      <c r="H10" s="7" t="n">
        <v>195000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Kingfoodmart</t>
        </is>
      </c>
      <c r="B11" s="5" t="inlineStr">
        <is>
          <t>Meatcool</t>
        </is>
      </c>
      <c r="C11" s="5" t="inlineStr">
        <is>
          <t>后腿肉</t>
        </is>
      </c>
      <c r="D11" s="5" t="inlineStr">
        <is>
          <t>胡志明市/Kingfoodmart默认门店</t>
        </is>
      </c>
      <c r="E11" s="7" t="n">
        <v>17</v>
      </c>
      <c r="F11" s="7" t="n">
        <v>138889</v>
      </c>
      <c r="G11" s="7" t="n">
        <v>138889</v>
      </c>
      <c r="H11" s="7" t="n">
        <v>138889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Kingfoodmart</t>
        </is>
      </c>
      <c r="B12" s="5" t="inlineStr">
        <is>
          <t>Meatcool</t>
        </is>
      </c>
      <c r="C12" s="5" t="inlineStr">
        <is>
          <t>梅花肉</t>
        </is>
      </c>
      <c r="D12" s="5" t="inlineStr">
        <is>
          <t>胡志明市/Kingfoodmart默认门店</t>
        </is>
      </c>
      <c r="E12" s="7" t="n">
        <v>19</v>
      </c>
      <c r="F12" s="7" t="n">
        <v>192100</v>
      </c>
      <c r="G12" s="7" t="n">
        <v>192100</v>
      </c>
      <c r="H12" s="7" t="n">
        <v>192100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Kingfoodmart</t>
        </is>
      </c>
      <c r="B13" s="5" t="inlineStr">
        <is>
          <t>Meatcool</t>
        </is>
      </c>
      <c r="C13" s="5" t="inlineStr">
        <is>
          <t>猪排</t>
        </is>
      </c>
      <c r="D13" s="5" t="inlineStr">
        <is>
          <t>胡志明市/Kingfoodmart默认门店</t>
        </is>
      </c>
      <c r="E13" s="7" t="n">
        <v>18</v>
      </c>
      <c r="F13" s="7" t="n">
        <v>138889</v>
      </c>
      <c r="G13" s="7" t="n">
        <v>138889</v>
      </c>
      <c r="H13" s="7" t="n">
        <v>138889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Vĩnh Tân</t>
        </is>
      </c>
      <c r="C14" s="5" t="inlineStr">
        <is>
          <t>后腿肉</t>
        </is>
      </c>
      <c r="D14" s="5" t="inlineStr">
        <is>
          <t>胡志明市/Kingfoodmart默认门店</t>
        </is>
      </c>
      <c r="E14" s="7" t="n">
        <v>13</v>
      </c>
      <c r="F14" s="7" t="n">
        <v>165000</v>
      </c>
      <c r="G14" s="7" t="n">
        <v>165000</v>
      </c>
      <c r="H14" s="7" t="n">
        <v>165000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Vĩnh Tân</t>
        </is>
      </c>
      <c r="C15" s="5" t="inlineStr">
        <is>
          <t>梅花肉</t>
        </is>
      </c>
      <c r="D15" s="5" t="inlineStr">
        <is>
          <t>胡志明市/Kingfoodmart默认门店</t>
        </is>
      </c>
      <c r="E15" s="7" t="n">
        <v>19</v>
      </c>
      <c r="F15" s="7" t="n">
        <v>190000</v>
      </c>
      <c r="G15" s="7" t="n">
        <v>192500</v>
      </c>
      <c r="H15" s="7" t="n">
        <v>190000</v>
      </c>
      <c r="I15" s="9">
        <f>IF(E15&lt;2,"",G15/F15-1)</f>
        <v/>
      </c>
      <c r="J15" s="5">
        <f>IF(E15&lt;2,"积累中",IF(I15&gt;=0.01,"上涨",IF(I15&lt;=-0.01,"下降","平稳")))</f>
        <v/>
      </c>
    </row>
    <row r="16" ht="30" customHeight="1">
      <c r="A16" s="5" t="inlineStr">
        <is>
          <t>Kingfoodmart</t>
        </is>
      </c>
      <c r="B16" s="5" t="inlineStr">
        <is>
          <t>Vĩnh Tân</t>
        </is>
      </c>
      <c r="C16" s="5" t="inlineStr">
        <is>
          <t>猪排</t>
        </is>
      </c>
      <c r="D16" s="5" t="inlineStr">
        <is>
          <t>胡志明市/Kingfoodmart默认门店</t>
        </is>
      </c>
      <c r="E16" s="7" t="n">
        <v>19</v>
      </c>
      <c r="F16" s="7" t="n">
        <v>197500</v>
      </c>
      <c r="G16" s="7" t="n">
        <v>197500</v>
      </c>
      <c r="H16" s="7" t="n">
        <v>197500</v>
      </c>
      <c r="I16" s="9">
        <f>IF(E16&lt;2,"",G16/F16-1)</f>
        <v/>
      </c>
      <c r="J16" s="5">
        <f>IF(E16&lt;2,"积累中",IF(I16&gt;=0.01,"上涨",IF(I16&lt;=-0.01,"下降","平稳")))</f>
        <v/>
      </c>
    </row>
  </sheetData>
  <mergeCells count="2">
    <mergeCell ref="A1:J1"/>
    <mergeCell ref="A2:J2"/>
  </mergeCells>
  <conditionalFormatting sqref="I5:I16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https://kingfoodmart.com/thit-heo/nac-dam-heo-meatcool-400g</t>
        </is>
      </c>
    </row>
    <row r="6" ht="58" customHeight="1">
      <c r="A6" s="5" t="inlineStr">
        <is>
          <t>Kingfoodmart</t>
        </is>
      </c>
      <c r="B6" s="5" t="inlineStr">
        <is>
          <t>BAF / BAF</t>
        </is>
      </c>
      <c r="C6" s="5" t="inlineStr">
        <is>
          <t>A-零售交易页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中：交易页含价格/重量/库存，但尚未锁定具体门店</t>
        </is>
      </c>
      <c r="F6" s="8" t="inlineStr">
        <is>
          <t>https://kingfoodmart.com/thit-heo/nac-dam-heo-baf-khay-300g-1-khay</t>
        </is>
      </c>
    </row>
    <row r="7" ht="58" customHeight="1">
      <c r="A7" s="5" t="inlineStr">
        <is>
          <t>Kingfoodmart</t>
        </is>
      </c>
      <c r="B7" s="5" t="inlineStr">
        <is>
          <t>Vĩnh Tân / Vĩnh Tân</t>
        </is>
      </c>
      <c r="C7" s="5" t="inlineStr">
        <is>
          <t>A-零售交易页</t>
        </is>
      </c>
      <c r="D7" s="5" t="inlineStr">
        <is>
          <t>实际价/kg = 促销价/kg（如有），否则常规价/kg；包装价÷重量(kg)用于交叉核验。</t>
        </is>
      </c>
      <c r="E7" s="5" t="inlineStr">
        <is>
          <t>中：交易页含价格/重量/库存，但尚未锁定具体门店</t>
        </is>
      </c>
      <c r="F7" s="8" t="inlineStr">
        <is>
          <t>https://kingfoodmart.com/thit-heo/nac-dam-heo-vinh-tan-400g-1-khay-63124</t>
        </is>
      </c>
    </row>
    <row r="8" ht="58" customHeight="1">
      <c r="A8" s="5" t="inlineStr">
        <is>
          <t>WinMart</t>
        </is>
      </c>
      <c r="B8" s="5" t="inlineStr">
        <is>
          <t>Masan / MEATDeli</t>
        </is>
      </c>
      <c r="C8" s="5" t="inlineStr">
        <is>
          <t>A-官方交易页</t>
        </is>
      </c>
      <c r="D8" s="5" t="inlineStr">
        <is>
          <t>实际价/kg = 促销价/kg（如有），否则常规价/kg；包装价÷重量(kg)用于交叉核验。</t>
        </is>
      </c>
      <c r="E8" s="5" t="inlineStr">
        <is>
          <t>中：官方交易页，但尚未固定配送门店</t>
        </is>
      </c>
      <c r="F8" s="8" t="inlineStr">
        <is>
          <t>https://winmart.vn/products/meat-deli-sig-suon-than-suon-non--s10281593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2026-08-18T21:57:51Z</dcterms:created>
  <dcterms:modified xmlns:dcterms="http://purl.org/dc/terms/" xmlns:xsi="http://www.w3.org/2001/XMLSchema-instance" xsi:type="dcterms:W3CDTF">2026-08-18T21:57:51Z</dcterms:modified>
</cp:coreProperties>
</file>