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ba-roi-heo-meatcool-400g" TargetMode="External" Id="rId1"/><Relationship Type="http://schemas.openxmlformats.org/officeDocument/2006/relationships/hyperlink" Target="https://kingfoodmart.com/thit-heo/thit-dui-meatcool-tui-900g-ol341387" TargetMode="External" Id="rId2"/><Relationship Type="http://schemas.openxmlformats.org/officeDocument/2006/relationships/hyperlink" Target="https://kingfoodmart.com/thit-heo/cot-let-heo-meatcool-khay-300g" TargetMode="External" Id="rId3"/><Relationship Type="http://schemas.openxmlformats.org/officeDocument/2006/relationships/hyperlink" Target="https://kingfoodmart.com/thit-heo/ba-roi-heo-dac-biet-vinh-tan-400g-1-khay-63106" TargetMode="External" Id="rId4"/><Relationship Type="http://schemas.openxmlformats.org/officeDocument/2006/relationships/hyperlink" Target="https://winmart.vn/products/meat-deli-nac-vai-heo-s--s10140279" TargetMode="External" Id="rId5"/><Relationship Type="http://schemas.openxmlformats.org/officeDocument/2006/relationships/hyperlink" Target="https://winmart.vn/products/meat-deli-sig-suon-than-suon-non--s10281593" TargetMode="External" Id="rId6"/><Relationship Type="http://schemas.openxmlformats.org/officeDocument/2006/relationships/hyperlink" Target="https://winmart.vn/products/meat-deli-nac-dam-heo--s10617957" TargetMode="External" Id="rId7"/><Relationship Type="http://schemas.openxmlformats.org/officeDocument/2006/relationships/hyperlink" Target="https://winmart.vn/products/meat-deli-ba-roi-heo--s10617959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ba-roi-heo-meatcool-400g" TargetMode="External" Id="rId1"/><Relationship Type="http://schemas.openxmlformats.org/officeDocument/2006/relationships/hyperlink" Target="https://kingfoodmart.com/thit-heo/ba-roi-heo-dac-biet-vinh-tan-400g-1-khay-63106" TargetMode="External" Id="rId2"/><Relationship Type="http://schemas.openxmlformats.org/officeDocument/2006/relationships/hyperlink" Target="https://winmart.vn/products/meat-deli-nac-vai-heo-s--s101402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越南猪肉零售价格日报｜2026-08-28</t>
        </is>
      </c>
    </row>
    <row r="2" ht="34" customHeight="1">
      <c r="A2" s="2" t="inlineStr">
        <is>
          <t>采集时间：越南时间 12:49。所有商品售价均统一折算为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3个</t>
        </is>
      </c>
      <c r="C6" s="5" t="inlineStr">
        <is>
          <t>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越南猪肉零售明细｜2026-08-28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五花肉</t>
        </is>
      </c>
      <c r="G5" s="5" t="inlineStr">
        <is>
          <t>Ba rọi heo Meatcool 360-440g</t>
        </is>
      </c>
      <c r="H5" s="5" t="inlineStr">
        <is>
          <t>冷鲜</t>
        </is>
      </c>
      <c r="I5" s="7" t="n">
        <v>400</v>
      </c>
      <c r="J5" s="7" t="n">
        <v>99600</v>
      </c>
      <c r="K5" s="7" t="n">
        <v>249000</v>
      </c>
      <c r="L5" s="7" t="n">
        <v>197500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https://kingfoodmart.com/thit-heo/ba-roi-heo-meatcool-400g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后腿肉</t>
        </is>
      </c>
      <c r="G6" s="5" t="inlineStr">
        <is>
          <t>Thịt đùi Meatcool 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https://kingfoodmart.com/thit-heo/thit-dui-meatcool-tui-900g-ol341387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heo Meatcool khay 300g</t>
        </is>
      </c>
      <c r="H7" s="5" t="inlineStr">
        <is>
          <t>冷鲜</t>
        </is>
      </c>
      <c r="I7" s="7" t="n">
        <v>300</v>
      </c>
      <c r="J7" s="7" t="n">
        <v>35000</v>
      </c>
      <c r="K7" s="7" t="n">
        <v>116667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https://kingfoodmart.com/thit-heo/cot-let-heo-meatcool-khay-300g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Vĩnh Tân</t>
        </is>
      </c>
      <c r="E8" s="5" t="inlineStr">
        <is>
          <t>Vĩnh Tân</t>
        </is>
      </c>
      <c r="F8" s="5" t="inlineStr">
        <is>
          <t>五花肉</t>
        </is>
      </c>
      <c r="G8" s="5" t="inlineStr">
        <is>
          <t>Ba rọi heo đặc biệt Vĩnh Tân 400g</t>
        </is>
      </c>
      <c r="H8" s="5" t="inlineStr">
        <is>
          <t>冷鲜</t>
        </is>
      </c>
      <c r="I8" s="7" t="n">
        <v>400</v>
      </c>
      <c r="J8" s="7" t="n">
        <v>89000</v>
      </c>
      <c r="K8" s="7" t="n">
        <v>222500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https://kingfoodmart.com/thit-heo/ba-roi-heo-dac-biet-vinh-tan-400g-1-khay-63106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肩肉</t>
        </is>
      </c>
      <c r="G9" s="5" t="inlineStr">
        <is>
          <t>MEATDELI Thịt Nạc vai heo (S)</t>
        </is>
      </c>
      <c r="H9" s="5" t="inlineStr">
        <is>
          <t>冷鲜</t>
        </is>
      </c>
      <c r="I9" s="7" t="n">
        <v>440</v>
      </c>
      <c r="J9" s="7" t="n">
        <v>74316</v>
      </c>
      <c r="K9" s="7" t="n">
        <v>168900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https://winmart.vn/products/meat-deli-nac-vai-heo-s--s10140279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小排</t>
        </is>
      </c>
      <c r="G10" s="5" t="inlineStr">
        <is>
          <t>MEATDELI [PRE] Thịt Sườn thăn (sườn non) (S)</t>
        </is>
      </c>
      <c r="H10" s="5" t="inlineStr">
        <is>
          <t>冷鲜</t>
        </is>
      </c>
      <c r="I10" s="7" t="n">
        <v>431</v>
      </c>
      <c r="J10" s="7" t="n">
        <v>124085</v>
      </c>
      <c r="K10" s="7" t="n">
        <v>287900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https://winmart.vn/products/meat-deli-sig-suon-than-suon-non--s10281593</t>
        </is>
      </c>
    </row>
    <row r="11" ht="32" customHeight="1">
      <c r="A11" s="5" t="inlineStr">
        <is>
          <t>全国渠道</t>
        </is>
      </c>
      <c r="B11" s="5" t="inlineStr">
        <is>
          <t>WinMart默认门店（待固定城市）</t>
        </is>
      </c>
      <c r="C11" s="5" t="inlineStr">
        <is>
          <t>WinMart</t>
        </is>
      </c>
      <c r="D11" s="5" t="inlineStr">
        <is>
          <t>Masan</t>
        </is>
      </c>
      <c r="E11" s="5" t="inlineStr">
        <is>
          <t>MEATDeli</t>
        </is>
      </c>
      <c r="F11" s="5" t="inlineStr">
        <is>
          <t>梅花肉</t>
        </is>
      </c>
      <c r="G11" s="5" t="inlineStr">
        <is>
          <t>MEATDELI Thịt Nạc dăm heo (Thịt Nạc vai) (S)</t>
        </is>
      </c>
      <c r="H11" s="5" t="inlineStr">
        <is>
          <t>冷鲜</t>
        </is>
      </c>
      <c r="I11" s="7" t="n">
        <v>400</v>
      </c>
      <c r="J11" s="7" t="n">
        <v>81960</v>
      </c>
      <c r="K11" s="7" t="n">
        <v>204900</v>
      </c>
      <c r="L11" s="7" t="n"/>
      <c r="M11" s="7">
        <f>IF(L11&lt;&gt;"",L11,K11)</f>
        <v/>
      </c>
      <c r="N11" s="5" t="inlineStr">
        <is>
          <t>中：官方交易页，但尚未固定配送门店</t>
        </is>
      </c>
      <c r="O11" s="8" t="inlineStr">
        <is>
          <t>https://winmart.vn/products/meat-deli-nac-dam-heo--s10617957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五花肉</t>
        </is>
      </c>
      <c r="G12" s="5" t="inlineStr">
        <is>
          <t>MEATDELI Thịt Ba Rọi heo (S)</t>
        </is>
      </c>
      <c r="H12" s="5" t="inlineStr">
        <is>
          <t>冷鲜</t>
        </is>
      </c>
      <c r="I12" s="7" t="n">
        <v>385</v>
      </c>
      <c r="J12" s="7" t="n">
        <v>76962</v>
      </c>
      <c r="K12" s="7" t="n">
        <v>199900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26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14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27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5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4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5</v>
      </c>
      <c r="F10" s="7" t="n">
        <v>195000</v>
      </c>
      <c r="G10" s="7" t="n">
        <v>197500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25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27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26</v>
      </c>
      <c r="F13" s="7" t="n">
        <v>138889</v>
      </c>
      <c r="G13" s="7" t="n">
        <v>116667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五花肉</t>
        </is>
      </c>
      <c r="D14" s="5" t="inlineStr">
        <is>
          <t>胡志明市/Kingfoodmart默认门店</t>
        </is>
      </c>
      <c r="E14" s="7" t="n">
        <v>1</v>
      </c>
      <c r="F14" s="7" t="n">
        <v>222500</v>
      </c>
      <c r="G14" s="7" t="n">
        <v>222500</v>
      </c>
      <c r="H14" s="7" t="n">
        <v>222500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后腿肉</t>
        </is>
      </c>
      <c r="D15" s="5" t="inlineStr">
        <is>
          <t>胡志明市/Kingfoodmart默认门店</t>
        </is>
      </c>
      <c r="E15" s="7" t="n">
        <v>20</v>
      </c>
      <c r="F15" s="7" t="n">
        <v>165000</v>
      </c>
      <c r="G15" s="7" t="n">
        <v>165000</v>
      </c>
      <c r="H15" s="7" t="n">
        <v>165000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梅花肉</t>
        </is>
      </c>
      <c r="D16" s="5" t="inlineStr">
        <is>
          <t>胡志明市/Kingfoodmart默认门店</t>
        </is>
      </c>
      <c r="E16" s="7" t="n">
        <v>27</v>
      </c>
      <c r="F16" s="7" t="n">
        <v>190000</v>
      </c>
      <c r="G16" s="7" t="n">
        <v>190000</v>
      </c>
      <c r="H16" s="7" t="n">
        <v>190000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猪排</t>
        </is>
      </c>
      <c r="D17" s="5" t="inlineStr">
        <is>
          <t>胡志明市/Kingfoodmart默认门店</t>
        </is>
      </c>
      <c r="E17" s="7" t="n">
        <v>27</v>
      </c>
      <c r="F17" s="7" t="n">
        <v>197500</v>
      </c>
      <c r="G17" s="7" t="n">
        <v>197500</v>
      </c>
      <c r="H17" s="7" t="n">
        <v>197500</v>
      </c>
      <c r="I17" s="9">
        <f>IF(E17&lt;2,"",G17/F17-1)</f>
        <v/>
      </c>
      <c r="J17" s="5">
        <f>IF(E17&lt;2,"积累中",IF(I17&gt;=0.01,"上涨",IF(I17&lt;=-0.01,"下降","平稳")))</f>
        <v/>
      </c>
    </row>
  </sheetData>
  <mergeCells count="2">
    <mergeCell ref="A1:J1"/>
    <mergeCell ref="A2:J2"/>
  </mergeCells>
  <conditionalFormatting sqref="I5:I17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https://kingfoodmart.com/thit-heo/ba-roi-heo-meatcool-400g</t>
        </is>
      </c>
    </row>
    <row r="6" ht="58" customHeight="1">
      <c r="A6" s="5" t="inlineStr">
        <is>
          <t>Kingfoodmart</t>
        </is>
      </c>
      <c r="B6" s="5" t="inlineStr">
        <is>
          <t>Vĩnh Tân / Vĩnh Tân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https://kingfoodmart.com/thit-heo/ba-roi-heo-dac-biet-vinh-tan-400g-1-khay-63106</t>
        </is>
      </c>
    </row>
    <row r="7" ht="58" customHeight="1">
      <c r="A7" s="5" t="inlineStr">
        <is>
          <t>WinMart</t>
        </is>
      </c>
      <c r="B7" s="5" t="inlineStr">
        <is>
          <t>Masan / MEATDeli</t>
        </is>
      </c>
      <c r="C7" s="5" t="inlineStr">
        <is>
          <t>A-官方交易页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中：官方交易页，但尚未固定配送门店</t>
        </is>
      </c>
      <c r="F7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2026-08-28T05:49:59Z</dcterms:created>
  <dcterms:modified xmlns:dcterms="http://purl.org/dc/terms/" xmlns:xsi="http://www.w3.org/2001/XMLSchema-instance" xsi:type="dcterms:W3CDTF">2026-08-28T05:49:59Z</dcterms:modified>
</cp:coreProperties>
</file>