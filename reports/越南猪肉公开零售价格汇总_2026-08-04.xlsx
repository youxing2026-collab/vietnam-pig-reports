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19276c810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7a37c59e82624550"/>
    <x:sheet xmlns:r="http://schemas.openxmlformats.org/officeDocument/2006/relationships" name="价格明细" sheetId="2" r:id="Rdb8dc7380dfd4e75"/>
    <x:sheet xmlns:r="http://schemas.openxmlformats.org/officeDocument/2006/relationships" name="来源状态" sheetId="3" r:id="R932d03d3dd2744e5"/>
    <x:sheet xmlns:r="http://schemas.openxmlformats.org/officeDocument/2006/relationships" name="口径说明" sheetId="4" r:id="R1494e28366c0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495E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4"/>
      <x:color rgb="FF17324D"/>
      <x:name val="Carlito"/>
    </x:font>
    <x:font>
      <x:b/>
      <x:sz val="11"/>
      <x:color rgb="FF745400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007C83"/>
      </x:patternFill>
    </x:fill>
    <x:fill>
      <x:patternFill patternType="solid">
        <x:fgColor rgb="FFE8F4F4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wrapText="1"/>
    </x:xf>
    <x:xf numFmtId="0" fontId="7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86A3B"/>
      </x:font>
      <x:fill>
        <x:patternFill patternType="solid">
          <x:bgColor rgb="FFE8F5E9"/>
        </x:patternFill>
      </x:fill>
    </x:dxf>
    <x:dxf>
      <x:font>
        <x:b/>
        <x:color rgb="FF7D6608"/>
      </x:font>
      <x:fill>
        <x:patternFill patternType="solid">
          <x:bgColor rgb="FFFFF4CC"/>
        </x:patternFill>
      </x:fill>
    </x:dxf>
    <x:dxf>
      <x:font>
        <x:b/>
        <x:color rgb="FF186A3B"/>
      </x:font>
      <x:fill>
        <x:patternFill patternType="solid">
          <x:bgColor rgb="FFE8F5E9"/>
        </x:patternFill>
      </x:fill>
    </x:dxf>
    <x:dxf>
      <x:font>
        <x:b/>
        <x:color rgb="FF7D6608"/>
      </x:font>
      <x:fill>
        <x:patternFill patternType="solid">
          <x:bgColor rgb="FFFFF4CC"/>
        </x:patternFill>
      </x:fill>
    </x:dxf>
    <x:dxf>
      <x:font>
        <x:b/>
        <x:color rgb="FF922B21"/>
      </x:font>
      <x:fill>
        <x:patternFill patternType="solid"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0daf329334994" /><Relationship Type="http://schemas.openxmlformats.org/officeDocument/2006/relationships/theme" Target="/xl/theme/theme1.xml" Id="Rc56fff176a704954" /><Relationship Type="http://schemas.openxmlformats.org/officeDocument/2006/relationships/sharedStrings" Target="/xl/sharedStrings.xml" Id="Rd1b9acd6dde746e7" /><Relationship Type="http://schemas.openxmlformats.org/officeDocument/2006/relationships/worksheet" Target="/xl/worksheets/sheet1.xml" Id="R7a37c59e82624550" /><Relationship Type="http://schemas.openxmlformats.org/officeDocument/2006/relationships/worksheet" Target="/xl/worksheets/sheet2.xml" Id="Rdb8dc7380dfd4e75" /><Relationship Type="http://schemas.openxmlformats.org/officeDocument/2006/relationships/worksheet" Target="/xl/worksheets/sheet3.xml" Id="R932d03d3dd2744e5" /><Relationship Type="http://schemas.openxmlformats.org/officeDocument/2006/relationships/worksheet" Target="/xl/worksheets/sheet4.xml" Id="R1494e28366c0410c" /></Relationships>
</file>

<file path=xl/tables/table1.xml><?xml version="1.0" encoding="utf-8"?>
<x:table xmlns:x="http://schemas.openxmlformats.org/spreadsheetml/2006/main" id="1" name="PorkRetailPriceTable" displayName="PorkRetailPriceTable" ref="A4:T72" headerRowCount="1" totalsRowCount="0" totalsRowShown="0">
  <x:tableColumns count="20">
    <x:tableColumn id="1" name="序号"/>
    <x:tableColumn id="2" name="渠道"/>
    <x:tableColumn id="3" name="企业/销售主体"/>
    <x:tableColumn id="4" name="品牌"/>
    <x:tableColumn id="5" name="越南语商品名"/>
    <x:tableColumn id="6" name="中文规格"/>
    <x:tableColumn id="7" name="中文部位"/>
    <x:tableColumn id="8" name="状态/保鲜"/>
    <x:tableColumn id="9" name="净重(g)"/>
    <x:tableColumn id="10" name="常规包装价"/>
    <x:tableColumn id="11" name="促销包装价"/>
    <x:tableColumn id="12" name="常规价/kg"/>
    <x:tableColumn id="13" name="促销价/kg"/>
    <x:tableColumn id="14" name="实际价/kg"/>
    <x:tableColumn id="15" name="价格性质"/>
    <x:tableColumn id="16" name="库存状态"/>
    <x:tableColumn id="17" name="地区/门店口径"/>
    <x:tableColumn id="18" name="采集时间"/>
    <x:tableColumn id="19" name="数据可信度"/>
    <x:tableColumn id="20" name="原始来源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tusTable" displayName="SourceStatusTable" ref="A4:F15" headerRowCount="1" totalsRowCount="0" totalsRowShown="0">
  <x:tableColumns count="6">
    <x:tableColumn id="1" name="渠道/网站"/>
    <x:tableColumn id="2" name="主要品牌/产品"/>
    <x:tableColumn id="3" name="采集结果"/>
    <x:tableColumn id="4" name="价格行数"/>
    <x:tableColumn id="5" name="限制及处理"/>
    <x:tableColumn id="6" name="来源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44b673468c4c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03d992fe3d40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35" hidden="0" customWidth="1"/>
    <x:col min="4" max="4" width="38" hidden="0" customWidth="1"/>
    <x:col min="5" max="5" width="15" hidden="0" customWidth="1"/>
    <x:col min="6" max="6" width="3" hidden="0" customWidth="1"/>
    <x:col min="7" max="7" width="16" hidden="0" customWidth="1"/>
    <x:col min="8" max="8" width="48" hidden="0" customWidth="1"/>
  </x:cols>
  <x:sheetData>
    <x:row r="1" ht="28" customHeight="1">
      <x:c r="A1" s="4" t="str">
        <x:v>越南猪肉线上零售公开标价汇总</x:v>
      </x:c>
    </x:row>
    <x:row r="2" ht="30" customHeight="1">
      <x:c r="A2" s="8" t="str">
        <x:v>采集日期：2026-08-04｜采集时间：2026-08-04 10:59 (越南时间)｜单位：VND；“官方价格”指零售商/品牌官网公开标价，不是政府指导价。</x:v>
      </x:c>
    </x:row>
    <x:row r="4">
      <x:c r="A4" s="14" t="str">
        <x:v>指标</x:v>
      </x:c>
      <x:c r="B4" s="14" t="str">
        <x:v>数值</x:v>
      </x:c>
      <x:c r="C4" s="14" t="str">
        <x:v>说明</x:v>
      </x:c>
      <x:c r="D4" s="14" t="str">
        <x:v>计算/口径</x:v>
      </x:c>
      <x:c r="G4" s="14" t="str">
        <x:v>重要提示</x:v>
      </x:c>
      <x:c r="H4" s="14" t="str">
        <x:v>内容</x:v>
      </x:c>
    </x:row>
    <x:row r="5" ht="34" customHeight="1">
      <x:c r="A5" s="18" t="str">
        <x:v>已采集商品行</x:v>
      </x:c>
      <x:c r="B5" s="22" t="n">
        <x:f>COUNTA('价格明细'!$A$5:$A$200)</x:f>
        <x:v>68</x:v>
      </x:c>
      <x:c r="C5" s="15" t="str">
        <x:v>含在售与缺货页面标价</x:v>
      </x:c>
      <x:c r="D5" s="15" t="str">
        <x:v>全部明细行</x:v>
      </x:c>
      <x:c r="G5" s="27" t="str">
        <x:v>可比性</x:v>
      </x:c>
      <x:c r="H5" s="28" t="str">
        <x:v>只可比较相同部位、是否带骨、冷鲜/冷冻、品牌和门店口径。</x:v>
      </x:c>
    </x:row>
    <x:row r="6" ht="34" customHeight="1">
      <x:c r="A6" s="18" t="str">
        <x:v>在售商品行</x:v>
      </x:c>
      <x:c r="B6" s="22" t="n">
        <x:f>COUNTIF('价格明细'!$P$5:$P$200,"在售")</x:f>
        <x:v>44</x:v>
      </x:c>
      <x:c r="C6" s="15" t="str">
        <x:v>仅状态为“在售”的样本</x:v>
      </x:c>
      <x:c r="D6" s="15" t="str">
        <x:v>不含 Co.op 缺货页面标价</x:v>
      </x:c>
      <x:c r="G6" s="27" t="str">
        <x:v>促销价</x:v>
      </x:c>
      <x:c r="H6" s="28" t="str">
        <x:v>有促销价时“实际价/kg”优先采用促销价；常规价保留。</x:v>
      </x:c>
    </x:row>
    <x:row r="7" ht="34" customHeight="1">
      <x:c r="A7" s="18" t="str">
        <x:v>缺货页面标价</x:v>
      </x:c>
      <x:c r="B7" s="22" t="n">
        <x:f>COUNTIF('价格明细'!$P$5:$P$200,"缺货")</x:f>
        <x:v>24</x:v>
      </x:c>
      <x:c r="C7" s="15" t="str">
        <x:v>保留页面价格作 SKU 核验</x:v>
      </x:c>
      <x:c r="D7" s="15" t="str">
        <x:v>不参与在售价格区间</x:v>
      </x:c>
      <x:c r="G7" s="27" t="str">
        <x:v>门店影响</x:v>
      </x:c>
      <x:c r="H7" s="28" t="str">
        <x:v>Bách Hóa Xanh、WinMart 等网站可能随配送地址、库存变化。</x:v>
      </x:c>
    </x:row>
    <x:row r="8" ht="34" customHeight="1">
      <x:c r="A8" s="18" t="str">
        <x:v>公开价格来源</x:v>
      </x:c>
      <x:c r="B8" s="22" t="n">
        <x:f>COUNTIF('来源状态'!$C$5:$C$20,"公开价格")+COUNTIF('来源状态'!$C$5:$C$20,"页面标价（采集时缺货）")</x:f>
        <x:v>6</x:v>
      </x:c>
      <x:c r="C8" s="15" t="str">
        <x:v>本次已取得公开价格的渠道数</x:v>
      </x:c>
      <x:c r="D8" s="15" t="str">
        <x:v>含补充的 Kingfoodmart</x:v>
      </x:c>
      <x:c r="G8" s="27" t="str">
        <x:v>缺货</x:v>
      </x:c>
      <x:c r="H8" s="28" t="str">
        <x:v>Co.op Online 本次为缺货显示价，不作为当前在售水平。</x:v>
      </x:c>
    </x:row>
    <x:row r="9" ht="34" customHeight="1">
      <x:c r="A9" s="18" t="str">
        <x:v>未录入价来源</x:v>
      </x:c>
      <x:c r="B9" s="22" t="n">
        <x:f>COUNTIF('来源状态'!$D$5:$D$20,0)</x:f>
        <x:v>5</x:v>
      </x:c>
      <x:c r="C9" s="15" t="str">
        <x:v>无公开价、404、需登录或门店口径</x:v>
      </x:c>
      <x:c r="D9" s="15" t="str">
        <x:v>已在“来源状态”逐项说明</x:v>
      </x:c>
      <x:c r="G9" s="27" t="str">
        <x:v>来源链接</x:v>
      </x:c>
      <x:c r="H9" s="28" t="str">
        <x:v>每一条商品均保留原始网页链接，方便复核与下载。</x:v>
      </x:c>
    </x:row>
    <x:row r="12">
      <x:c r="A12" s="14" t="str">
        <x:v>可比较部位（仅在售）</x:v>
      </x:c>
      <x:c r="B12" s="14" t="str">
        <x:v>最低实际价/kg</x:v>
      </x:c>
      <x:c r="C12" s="14" t="str">
        <x:v>平均实际价/kg</x:v>
      </x:c>
      <x:c r="D12" s="14" t="str">
        <x:v>最高实际价/kg</x:v>
      </x:c>
      <x:c r="E12" s="14" t="str">
        <x:v>在售样本数</x:v>
      </x:c>
    </x:row>
    <x:row r="13" ht="24" customHeight="1">
      <x:c r="A13" s="17" t="str">
        <x:v>五花肉</x:v>
      </x:c>
      <x:c r="B13" s="23" t="n">
        <x:f>IF(E13=0,"",MINIFS('价格明细'!$N$5:$N$200,'价格明细'!$G$5:$G$200,A13,'价格明细'!$P$5:$P$200,"在售"))</x:f>
        <x:v>153000</x:v>
      </x:c>
      <x:c r="C13" s="23" t="n">
        <x:f>IF(E13=0,"",SUMIFS('价格明细'!$N$5:$N$200,'价格明细'!$G$5:$G$200,A13,'价格明细'!$P$5:$P$200,"在售")/E13)</x:f>
        <x:v>208285.32948532948</x:v>
      </x:c>
      <x:c r="D13" s="23" t="n">
        <x:f>IF(E13=0,"",MAXIFS('价格明细'!$N$5:$N$200,'价格明细'!$G$5:$G$200,A13,'价格明细'!$P$5:$P$200,"在售"))</x:f>
        <x:v>275000</x:v>
      </x:c>
      <x:c r="E13" s="24" t="n">
        <x:f>COUNTIFS('价格明细'!$G$5:$G$200,A13,'价格明细'!$P$5:$P$200,"在售")</x:f>
        <x:v>9</x:v>
      </x:c>
    </x:row>
    <x:row r="14" ht="24" customHeight="1">
      <x:c r="A14" s="17" t="str">
        <x:v>后腿肉</x:v>
      </x:c>
      <x:c r="B14" s="23" t="n">
        <x:f>IF(E14=0,"",MINIFS('价格明细'!$N$5:$N$200,'价格明细'!$G$5:$G$200,A14,'价格明细'!$P$5:$P$200,"在售"))</x:f>
        <x:v>109000</x:v>
      </x:c>
      <x:c r="C14" s="23" t="n">
        <x:f>IF(E14=0,"",SUMIFS('价格明细'!$N$5:$N$200,'价格明细'!$G$5:$G$200,A14,'价格明细'!$P$5:$P$200,"在售")/E14)</x:f>
        <x:v>126972.22222222222</x:v>
      </x:c>
      <x:c r="D14" s="23" t="n">
        <x:f>IF(E14=0,"",MAXIFS('价格明细'!$N$5:$N$200,'价格明细'!$G$5:$G$200,A14,'价格明细'!$P$5:$P$200,"在售"))</x:f>
        <x:v>150000</x:v>
      </x:c>
      <x:c r="E14" s="24" t="n">
        <x:f>COUNTIFS('价格明细'!$G$5:$G$200,A14,'价格明细'!$P$5:$P$200,"在售")</x:f>
        <x:v>4</x:v>
      </x:c>
    </x:row>
    <x:row r="15" ht="24" customHeight="1">
      <x:c r="A15" s="17" t="str">
        <x:v>肩肉</x:v>
      </x:c>
      <x:c r="B15" s="23" t="n">
        <x:f>IF(E15=0,"",MINIFS('价格明细'!$N$5:$N$200,'价格明细'!$G$5:$G$200,A15,'价格明细'!$P$5:$P$200,"在售"))</x:f>
        <x:v>110000</x:v>
      </x:c>
      <x:c r="C15" s="23" t="n">
        <x:f>IF(E15=0,"",SUMIFS('价格明细'!$N$5:$N$200,'价格明细'!$G$5:$G$200,A15,'价格明细'!$P$5:$P$200,"在售")/E15)</x:f>
        <x:v>110000</x:v>
      </x:c>
      <x:c r="D15" s="23" t="n">
        <x:f>IF(E15=0,"",MAXIFS('价格明细'!$N$5:$N$200,'价格明细'!$G$5:$G$200,A15,'价格明细'!$P$5:$P$200,"在售"))</x:f>
        <x:v>110000</x:v>
      </x:c>
      <x:c r="E15" s="24" t="n">
        <x:f>COUNTIFS('价格明细'!$G$5:$G$200,A15,'价格明细'!$P$5:$P$200,"在售")</x:f>
        <x:v>1</x:v>
      </x:c>
    </x:row>
    <x:row r="16" ht="24" customHeight="1">
      <x:c r="A16" s="17" t="str">
        <x:v>梅花肉</x:v>
      </x:c>
      <x:c r="B16" s="23" t="n">
        <x:f>IF(E16=0,"",MINIFS('价格明细'!$N$5:$N$200,'价格明细'!$G$5:$G$200,A16,'价格明细'!$P$5:$P$200,"在售"))</x:f>
        <x:v>135000</x:v>
      </x:c>
      <x:c r="C16" s="23" t="n">
        <x:f>IF(E16=0,"",SUMIFS('价格明细'!$N$5:$N$200,'价格明细'!$G$5:$G$200,A16,'价格明细'!$P$5:$P$200,"在售")/E16)</x:f>
        <x:v>169950</x:v>
      </x:c>
      <x:c r="D16" s="23" t="n">
        <x:f>IF(E16=0,"",MAXIFS('价格明细'!$N$5:$N$200,'价格明细'!$G$5:$G$200,A16,'价格明细'!$P$5:$P$200,"在售"))</x:f>
        <x:v>204900</x:v>
      </x:c>
      <x:c r="E16" s="24" t="n">
        <x:f>COUNTIFS('价格明细'!$G$5:$G$200,A16,'价格明细'!$P$5:$P$200,"在售")</x:f>
        <x:v>2</x:v>
      </x:c>
    </x:row>
    <x:row r="17" ht="24" customHeight="1">
      <x:c r="A17" s="17" t="str">
        <x:v>小排</x:v>
      </x:c>
      <x:c r="B17" s="23" t="n">
        <x:f>IF(E17=0,"",MINIFS('价格明细'!$N$5:$N$200,'价格明细'!$G$5:$G$200,A17,'价格明细'!$P$5:$P$200,"在售"))</x:f>
        <x:v>190000</x:v>
      </x:c>
      <x:c r="C17" s="23" t="n">
        <x:f>IF(E17=0,"",SUMIFS('价格明细'!$N$5:$N$200,'价格明细'!$G$5:$G$200,A17,'价格明细'!$P$5:$P$200,"在售")/E17)</x:f>
        <x:v>270100.0580046404</x:v>
      </x:c>
      <x:c r="D17" s="23" t="n">
        <x:f>IF(E17=0,"",MAXIFS('价格明细'!$N$5:$N$200,'价格明细'!$G$5:$G$200,A17,'价格明细'!$P$5:$P$200,"在售"))</x:f>
        <x:v>312500</x:v>
      </x:c>
      <x:c r="E17" s="24" t="n">
        <x:f>COUNTIFS('价格明细'!$G$5:$G$200,A17,'价格明细'!$P$5:$P$200,"在售")</x:f>
        <x:v>4</x:v>
      </x:c>
    </x:row>
    <x:row r="18" ht="24" customHeight="1">
      <x:c r="A18" s="17" t="str">
        <x:v>猪排</x:v>
      </x:c>
      <x:c r="B18" s="23" t="n">
        <x:f>IF(E18=0,"",MINIFS('价格明细'!$N$5:$N$200,'价格明细'!$G$5:$G$200,A18,'价格明细'!$P$5:$P$200,"在售"))</x:f>
        <x:v>120000</x:v>
      </x:c>
      <x:c r="C18" s="23" t="n">
        <x:f>IF(E18=0,"",SUMIFS('价格明细'!$N$5:$N$200,'价格明细'!$G$5:$G$200,A18,'价格明细'!$P$5:$P$200,"在售")/E18)</x:f>
        <x:v>136296.2962962963</x:v>
      </x:c>
      <x:c r="D18" s="23" t="n">
        <x:f>IF(E18=0,"",MAXIFS('价格明细'!$N$5:$N$200,'价格明细'!$G$5:$G$200,A18,'价格明细'!$P$5:$P$200,"在售"))</x:f>
        <x:v>150000</x:v>
      </x:c>
      <x:c r="E18" s="24" t="n">
        <x:f>COUNTIFS('价格明细'!$G$5:$G$200,A18,'价格明细'!$P$5:$P$200,"在售")</x:f>
        <x:v>3</x:v>
      </x:c>
    </x:row>
    <x:row r="19" ht="24" customHeight="1">
      <x:c r="A19" s="17" t="str">
        <x:v>里脊</x:v>
      </x:c>
      <x:c r="B19" s="23" t="n">
        <x:f>IF(E19=0,"",MINIFS('价格明细'!$N$5:$N$200,'价格明细'!$G$5:$G$200,A19,'价格明细'!$P$5:$P$200,"在售"))</x:f>
        <x:v>130000</x:v>
      </x:c>
      <x:c r="C19" s="23" t="n">
        <x:f>IF(E19=0,"",SUMIFS('价格明细'!$N$5:$N$200,'价格明细'!$G$5:$G$200,A19,'价格明细'!$P$5:$P$200,"在售")/E19)</x:f>
        <x:v>158333.33333333334</x:v>
      </x:c>
      <x:c r="D19" s="23" t="n">
        <x:f>IF(E19=0,"",MAXIFS('价格明细'!$N$5:$N$200,'价格明细'!$G$5:$G$200,A19,'价格明细'!$P$5:$P$200,"在售"))</x:f>
        <x:v>175000</x:v>
      </x:c>
      <x:c r="E19" s="24" t="n">
        <x:f>COUNTIFS('价格明细'!$G$5:$G$200,A19,'价格明细'!$P$5:$P$200,"在售")</x:f>
        <x:v>3</x:v>
      </x:c>
    </x:row>
    <x:row r="20" ht="24" customHeight="1">
      <x:c r="A20" s="17" t="str">
        <x:v>猪肉馅</x:v>
      </x:c>
      <x:c r="B20" s="23" t="n">
        <x:f>IF(E20=0,"",MINIFS('价格明细'!$N$5:$N$200,'价格明细'!$G$5:$G$200,A20,'价格明细'!$P$5:$P$200,"在售"))</x:f>
        <x:v>110000</x:v>
      </x:c>
      <x:c r="C20" s="23" t="n">
        <x:f>IF(E20=0,"",SUMIFS('价格明细'!$N$5:$N$200,'价格明细'!$G$5:$G$200,A20,'价格明细'!$P$5:$P$200,"在售")/E20)</x:f>
        <x:v>110000</x:v>
      </x:c>
      <x:c r="D20" s="23" t="n">
        <x:f>IF(E20=0,"",MAXIFS('价格明细'!$N$5:$N$200,'价格明细'!$G$5:$G$200,A20,'价格明细'!$P$5:$P$200,"在售"))</x:f>
        <x:v>110000</x:v>
      </x:c>
      <x:c r="E20" s="24" t="n">
        <x:f>COUNTIFS('价格明细'!$G$5:$G$200,A20,'价格明细'!$P$5:$P$200,"在售")</x:f>
        <x:v>1</x:v>
      </x:c>
    </x:row>
    <x:row r="21" ht="24" customHeight="1">
      <x:c r="A21" s="17" t="str">
        <x:v>猪蹄/肘子</x:v>
      </x:c>
      <x:c r="B21" s="23" t="n">
        <x:f>IF(E21=0,"",MINIFS('价格明细'!$N$5:$N$200,'价格明细'!$G$5:$G$200,A21,'价格明细'!$P$5:$P$200,"在售"))</x:f>
        <x:v>85000</x:v>
      </x:c>
      <x:c r="C21" s="23" t="n">
        <x:f>IF(E21=0,"",SUMIFS('价格明细'!$N$5:$N$200,'价格明细'!$G$5:$G$200,A21,'价格明细'!$P$5:$P$200,"在售")/E21)</x:f>
        <x:v>119333.33333333333</x:v>
      </x:c>
      <x:c r="D21" s="23" t="n">
        <x:f>IF(E21=0,"",MAXIFS('价格明细'!$N$5:$N$200,'价格明细'!$G$5:$G$200,A21,'价格明细'!$P$5:$P$200,"在售"))</x:f>
        <x:v>150000</x:v>
      </x:c>
      <x:c r="E21" s="24" t="n">
        <x:f>COUNTIFS('价格明细'!$G$5:$G$200,A21,'价格明细'!$P$5:$P$200,"在售")</x:f>
        <x:v>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1" hidden="0" customWidth="1"/>
    <x:col min="3" max="3" width="20" hidden="0" customWidth="1"/>
    <x:col min="4" max="4" width="17" hidden="0" customWidth="1"/>
    <x:col min="5" max="5" width="46" hidden="0" customWidth="1"/>
    <x:col min="6" max="6" width="24" hidden="0" customWidth="1"/>
    <x:col min="7" max="7" width="16" hidden="0" customWidth="1"/>
    <x:col min="8" max="8" width="14" hidden="0" customWidth="1"/>
    <x:col min="9" max="9" width="11" hidden="0" customWidth="1"/>
    <x:col min="10" max="10" width="15" hidden="0" customWidth="1"/>
    <x:col min="11" max="11" width="15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2" hidden="0" customWidth="1"/>
    <x:col min="17" max="17" width="28" hidden="0" customWidth="1"/>
    <x:col min="18" max="18" width="21" hidden="0" customWidth="1"/>
    <x:col min="19" max="19" width="13" hidden="0" customWidth="1"/>
    <x:col min="20" max="20" width="66" hidden="0" customWidth="1"/>
  </x:cols>
  <x:sheetData>
    <x:row r="1" ht="28" customHeight="1">
      <x:c r="A1" s="4" t="str">
        <x:v>越南猪肉公开零售价格明细</x:v>
      </x:c>
    </x:row>
    <x:row r="2" ht="30" customHeight="1">
      <x:c r="A2" s="8" t="str">
        <x:v>计算公式：每公斤价格 = 包装价格 ÷（净重g / 1,000）。促销价和常规价分列；黄色为缺货页面标价，绿色为在售样本。所有价格均为越南盾（VND）。</x:v>
      </x:c>
    </x:row>
    <x:row r="4">
      <x:c r="A4" s="14" t="str">
        <x:v>序号</x:v>
      </x:c>
      <x:c r="B4" s="14" t="str">
        <x:v>渠道</x:v>
      </x:c>
      <x:c r="C4" s="14" t="str">
        <x:v>企业/销售主体</x:v>
      </x:c>
      <x:c r="D4" s="14" t="str">
        <x:v>品牌</x:v>
      </x:c>
      <x:c r="E4" s="14" t="str">
        <x:v>越南语商品名</x:v>
      </x:c>
      <x:c r="F4" s="14" t="str">
        <x:v>中文规格</x:v>
      </x:c>
      <x:c r="G4" s="14" t="str">
        <x:v>中文部位</x:v>
      </x:c>
      <x:c r="H4" s="14" t="str">
        <x:v>状态/保鲜</x:v>
      </x:c>
      <x:c r="I4" s="14" t="str">
        <x:v>净重(g)</x:v>
      </x:c>
      <x:c r="J4" s="14" t="str">
        <x:v>常规包装价</x:v>
      </x:c>
      <x:c r="K4" s="14" t="str">
        <x:v>促销包装价</x:v>
      </x:c>
      <x:c r="L4" s="14" t="str">
        <x:v>常规价/kg</x:v>
      </x:c>
      <x:c r="M4" s="14" t="str">
        <x:v>促销价/kg</x:v>
      </x:c>
      <x:c r="N4" s="14" t="str">
        <x:v>实际价/kg</x:v>
      </x:c>
      <x:c r="O4" s="14" t="str">
        <x:v>价格性质</x:v>
      </x:c>
      <x:c r="P4" s="14" t="str">
        <x:v>库存状态</x:v>
      </x:c>
      <x:c r="Q4" s="14" t="str">
        <x:v>地区/门店口径</x:v>
      </x:c>
      <x:c r="R4" s="14" t="str">
        <x:v>采集时间</x:v>
      </x:c>
      <x:c r="S4" s="14" t="str">
        <x:v>数据可信度</x:v>
      </x:c>
      <x:c r="T4" s="14" t="str">
        <x:v>原始来源链接</x:v>
      </x:c>
    </x:row>
    <x:row r="5" ht="31" customHeight="1">
      <x:c r="A5" s="30" t="n">
        <x:v>1</x:v>
      </x:c>
      <x:c r="B5" s="28" t="str">
        <x:v>Bách Hóa Xanh</x:v>
      </x:c>
      <x:c r="C5" s="28" t="str">
        <x:v>Bách Hóa Xanh</x:v>
      </x:c>
      <x:c r="D5" s="28" t="str">
        <x:v>页面未披露品牌</x:v>
      </x:c>
      <x:c r="E5" s="28" t="str">
        <x:v>Ba rọi heo giá tốt tại Bách hoá XANH</x:v>
      </x:c>
      <x:c r="F5" s="28" t="str">
        <x:v>300 g｜零售包装/网页标注</x:v>
      </x:c>
      <x:c r="G5" s="28" t="str">
        <x:v>五花肉</x:v>
      </x:c>
      <x:c r="H5" s="28" t="str">
        <x:v>鲜肉/未明示</x:v>
      </x:c>
      <x:c r="I5" s="31" t="n">
        <x:v>300</x:v>
      </x:c>
      <x:c r="J5" s="31" t="n">
        <x:v>45900</x:v>
      </x:c>
      <x:c r="K5" s="31"/>
      <x:c r="L5" s="31" t="n">
        <x:f>IF(OR(I5="",J5=""),"",J5/(I5/1000))</x:f>
        <x:v>153000</x:v>
      </x:c>
      <x:c r="M5" s="31" t="str">
        <x:f>IF(OR(I5="",K5=""),"",K5/(I5/1000))</x:f>
      </x:c>
      <x:c r="N5" s="31" t="n">
        <x:f>IF(M5&lt;&gt;"",M5,L5)</x:f>
        <x:v>153000</x:v>
      </x:c>
      <x:c r="O5" s="32" t="str">
        <x:v>常规公开标价</x:v>
      </x:c>
      <x:c r="P5" s="30" t="str">
        <x:v>在售</x:v>
      </x:c>
      <x:c r="Q5" s="28" t="str">
        <x:v>胡志明市口径/默认门店</x:v>
      </x:c>
      <x:c r="R5" s="28" t="str">
        <x:v>2026-08-04 10:59 (越南时间)</x:v>
      </x:c>
      <x:c r="S5" s="28" t="str">
        <x:v>中</x:v>
      </x:c>
      <x:c r="T5" s="33" t="str">
        <x:v>https://www.bachhoaxanh.com/thit-heo/ba-roi-heo</x:v>
      </x:c>
    </x:row>
    <x:row r="6" ht="31" customHeight="1">
      <x:c r="A6" s="30" t="n">
        <x:v>2</x:v>
      </x:c>
      <x:c r="B6" s="28" t="str">
        <x:v>Bách Hóa Xanh</x:v>
      </x:c>
      <x:c r="C6" s="28" t="str">
        <x:v>Bách Hóa Xanh</x:v>
      </x:c>
      <x:c r="D6" s="28" t="str">
        <x:v>页面未披露品牌</x:v>
      </x:c>
      <x:c r="E6" s="28" t="str">
        <x:v>Thịt đùi heo 300g giá tốt tại Bách hoá XANH</x:v>
      </x:c>
      <x:c r="F6" s="28" t="str">
        <x:v>300 g｜零售包装/网页标注</x:v>
      </x:c>
      <x:c r="G6" s="28" t="str">
        <x:v>后腿肉</x:v>
      </x:c>
      <x:c r="H6" s="28" t="str">
        <x:v>鲜肉/未明示</x:v>
      </x:c>
      <x:c r="I6" s="31" t="n">
        <x:v>300</x:v>
      </x:c>
      <x:c r="J6" s="31" t="n">
        <x:v>32700</x:v>
      </x:c>
      <x:c r="K6" s="31"/>
      <x:c r="L6" s="31" t="n">
        <x:f>IF(OR(I6="",J6=""),"",J6/(I6/1000))</x:f>
        <x:v>109000</x:v>
      </x:c>
      <x:c r="M6" s="31" t="str">
        <x:f>IF(OR(I6="",K6=""),"",K6/(I6/1000))</x:f>
      </x:c>
      <x:c r="N6" s="31" t="n">
        <x:f>IF(M6&lt;&gt;"",M6,L6)</x:f>
        <x:v>109000</x:v>
      </x:c>
      <x:c r="O6" s="32" t="str">
        <x:v>常规公开标价</x:v>
      </x:c>
      <x:c r="P6" s="30" t="str">
        <x:v>在售</x:v>
      </x:c>
      <x:c r="Q6" s="28" t="str">
        <x:v>胡志明市口径/默认门店</x:v>
      </x:c>
      <x:c r="R6" s="28" t="str">
        <x:v>2026-08-04 10:59 (越南时间)</x:v>
      </x:c>
      <x:c r="S6" s="28" t="str">
        <x:v>中</x:v>
      </x:c>
      <x:c r="T6" s="33" t="str">
        <x:v>https://www.bachhoaxanh.com/thit-heo/thit-dui-heo-300g</x:v>
      </x:c>
    </x:row>
    <x:row r="7" ht="31" customHeight="1">
      <x:c r="A7" s="30" t="n">
        <x:v>3</x:v>
      </x:c>
      <x:c r="B7" s="28" t="str">
        <x:v>Bách Hóa Xanh</x:v>
      </x:c>
      <x:c r="C7" s="28" t="str">
        <x:v>Bách Hóa Xanh</x:v>
      </x:c>
      <x:c r="D7" s="28" t="str">
        <x:v>页面未披露品牌</x:v>
      </x:c>
      <x:c r="E7" s="28" t="str">
        <x:v>Thịt nạc heo tại Bách hoá XANH</x:v>
      </x:c>
      <x:c r="F7" s="28" t="str">
        <x:v>300 g｜零售包装/网页标注</x:v>
      </x:c>
      <x:c r="G7" s="28" t="str">
        <x:v>其他猪肉部位</x:v>
      </x:c>
      <x:c r="H7" s="28" t="str">
        <x:v>鲜肉/未明示</x:v>
      </x:c>
      <x:c r="I7" s="31" t="n">
        <x:v>300</x:v>
      </x:c>
      <x:c r="J7" s="31" t="n">
        <x:v>39600</x:v>
      </x:c>
      <x:c r="K7" s="31"/>
      <x:c r="L7" s="31" t="n">
        <x:f>IF(OR(I7="",J7=""),"",J7/(I7/1000))</x:f>
        <x:v>132000</x:v>
      </x:c>
      <x:c r="M7" s="31" t="str">
        <x:f>IF(OR(I7="",K7=""),"",K7/(I7/1000))</x:f>
      </x:c>
      <x:c r="N7" s="31" t="n">
        <x:f>IF(M7&lt;&gt;"",M7,L7)</x:f>
        <x:v>132000</x:v>
      </x:c>
      <x:c r="O7" s="32" t="str">
        <x:v>常规公开标价</x:v>
      </x:c>
      <x:c r="P7" s="30" t="str">
        <x:v>在售</x:v>
      </x:c>
      <x:c r="Q7" s="28" t="str">
        <x:v>胡志明市口径/默认门店</x:v>
      </x:c>
      <x:c r="R7" s="28" t="str">
        <x:v>2026-08-04 10:59 (越南时间)</x:v>
      </x:c>
      <x:c r="S7" s="28" t="str">
        <x:v>中</x:v>
      </x:c>
      <x:c r="T7" s="33" t="str">
        <x:v>https://www.bachhoaxanh.com/thit-heo/thit-nac-heo-300g</x:v>
      </x:c>
    </x:row>
    <x:row r="8" ht="31" customHeight="1">
      <x:c r="A8" s="30" t="n">
        <x:v>4</x:v>
      </x:c>
      <x:c r="B8" s="28" t="str">
        <x:v>Bách Hóa Xanh</x:v>
      </x:c>
      <x:c r="C8" s="28" t="str">
        <x:v>C.P. Vietnam</x:v>
      </x:c>
      <x:c r="D8" s="28" t="str">
        <x:v>C.P.</x:v>
      </x:c>
      <x:c r="E8" s="28" t="str">
        <x:v>Ba rọi heo rút sườn C.P khay 300g giá tốt tại Bách hoá XANH</x:v>
      </x:c>
      <x:c r="F8" s="28" t="str">
        <x:v>300 g｜零售包装/网页标注</x:v>
      </x:c>
      <x:c r="G8" s="28" t="str">
        <x:v>五花肉</x:v>
      </x:c>
      <x:c r="H8" s="28" t="str">
        <x:v>鲜肉/未明示</x:v>
      </x:c>
      <x:c r="I8" s="31" t="n">
        <x:v>300</x:v>
      </x:c>
      <x:c r="J8" s="31" t="n">
        <x:v>80000</x:v>
      </x:c>
      <x:c r="K8" s="31"/>
      <x:c r="L8" s="31" t="n">
        <x:f>IF(OR(I8="",J8=""),"",J8/(I8/1000))</x:f>
        <x:v>266666.6666666667</x:v>
      </x:c>
      <x:c r="M8" s="31" t="str">
        <x:f>IF(OR(I8="",K8=""),"",K8/(I8/1000))</x:f>
      </x:c>
      <x:c r="N8" s="31" t="n">
        <x:f>IF(M8&lt;&gt;"",M8,L8)</x:f>
        <x:v>266666.6666666667</x:v>
      </x:c>
      <x:c r="O8" s="32" t="str">
        <x:v>常规公开标价</x:v>
      </x:c>
      <x:c r="P8" s="30" t="str">
        <x:v>在售</x:v>
      </x:c>
      <x:c r="Q8" s="28" t="str">
        <x:v>胡志明市口径/默认门店</x:v>
      </x:c>
      <x:c r="R8" s="28" t="str">
        <x:v>2026-08-04 10:59 (越南时间)</x:v>
      </x:c>
      <x:c r="S8" s="28" t="str">
        <x:v>中</x:v>
      </x:c>
      <x:c r="T8" s="33" t="str">
        <x:v>https://www.bachhoaxanh.com/thit-heo/ba-roi-heo-rut-suon-cp-khay-300g</x:v>
      </x:c>
    </x:row>
    <x:row r="9" ht="31" customHeight="1">
      <x:c r="A9" s="30" t="n">
        <x:v>5</x:v>
      </x:c>
      <x:c r="B9" s="28" t="str">
        <x:v>WinMart</x:v>
      </x:c>
      <x:c r="C9" s="28" t="str">
        <x:v>Masan</x:v>
      </x:c>
      <x:c r="D9" s="28" t="str">
        <x:v>MEATDeli</x:v>
      </x:c>
      <x:c r="E9" s="28" t="str">
        <x:v>MEATDELI Thịt Ba Rọi heo (S)</x:v>
      </x:c>
      <x:c r="F9" s="28" t="str">
        <x:v>385 g｜零售包装/网页标注</x:v>
      </x:c>
      <x:c r="G9" s="28" t="str">
        <x:v>五花肉</x:v>
      </x:c>
      <x:c r="H9" s="28" t="str">
        <x:v>鲜肉/未明示</x:v>
      </x:c>
      <x:c r="I9" s="31" t="n">
        <x:v>385</x:v>
      </x:c>
      <x:c r="J9" s="31" t="n">
        <x:v>76962</x:v>
      </x:c>
      <x:c r="K9" s="31"/>
      <x:c r="L9" s="31" t="n">
        <x:f>IF(OR(I9="",J9=""),"",J9/(I9/1000))</x:f>
        <x:v>199901.29870129869</x:v>
      </x:c>
      <x:c r="M9" s="31" t="str">
        <x:f>IF(OR(I9="",K9=""),"",K9/(I9/1000))</x:f>
      </x:c>
      <x:c r="N9" s="31" t="n">
        <x:f>IF(M9&lt;&gt;"",M9,L9)</x:f>
        <x:v>199901.29870129869</x:v>
      </x:c>
      <x:c r="O9" s="32" t="str">
        <x:v>常规公开标价</x:v>
      </x:c>
      <x:c r="P9" s="30" t="str">
        <x:v>在售</x:v>
      </x:c>
      <x:c r="Q9" s="28" t="str">
        <x:v>线上渠道/门店未固定</x:v>
      </x:c>
      <x:c r="R9" s="28" t="str">
        <x:v>2026-08-04 10:59 (越南时间)</x:v>
      </x:c>
      <x:c r="S9" s="28" t="str">
        <x:v>中</x:v>
      </x:c>
      <x:c r="T9" s="33" t="str">
        <x:v>https://winmart.vn/products/meat-deli-ba-roi-heo--s10617959</x:v>
      </x:c>
    </x:row>
    <x:row r="10" ht="31" customHeight="1">
      <x:c r="A10" s="30" t="n">
        <x:v>6</x:v>
      </x:c>
      <x:c r="B10" s="28" t="str">
        <x:v>WinMart</x:v>
      </x:c>
      <x:c r="C10" s="28" t="str">
        <x:v>Masan</x:v>
      </x:c>
      <x:c r="D10" s="28" t="str">
        <x:v>MEATDeli</x:v>
      </x:c>
      <x:c r="E10" s="28" t="str">
        <x:v>MEATDELI Thịt Nạc dăm heo (Thịt Nạc vai) (S)</x:v>
      </x:c>
      <x:c r="F10" s="28" t="str">
        <x:v>400 g｜零售包装/网页标注</x:v>
      </x:c>
      <x:c r="G10" s="28" t="str">
        <x:v>梅花肉</x:v>
      </x:c>
      <x:c r="H10" s="28" t="str">
        <x:v>鲜肉/未明示</x:v>
      </x:c>
      <x:c r="I10" s="31" t="n">
        <x:v>400</x:v>
      </x:c>
      <x:c r="J10" s="31" t="n">
        <x:v>81960</x:v>
      </x:c>
      <x:c r="K10" s="31"/>
      <x:c r="L10" s="31" t="n">
        <x:f>IF(OR(I10="",J10=""),"",J10/(I10/1000))</x:f>
        <x:v>204900</x:v>
      </x:c>
      <x:c r="M10" s="31" t="str">
        <x:f>IF(OR(I10="",K10=""),"",K10/(I10/1000))</x:f>
      </x:c>
      <x:c r="N10" s="31" t="n">
        <x:f>IF(M10&lt;&gt;"",M10,L10)</x:f>
        <x:v>204900</x:v>
      </x:c>
      <x:c r="O10" s="32" t="str">
        <x:v>常规公开标价</x:v>
      </x:c>
      <x:c r="P10" s="30" t="str">
        <x:v>在售</x:v>
      </x:c>
      <x:c r="Q10" s="28" t="str">
        <x:v>线上渠道/门店未固定</x:v>
      </x:c>
      <x:c r="R10" s="28" t="str">
        <x:v>2026-08-04 10:59 (越南时间)</x:v>
      </x:c>
      <x:c r="S10" s="28" t="str">
        <x:v>中</x:v>
      </x:c>
      <x:c r="T10" s="33" t="str">
        <x:v>https://winmart.vn/products/meat-deli-nac-dam-heo--s10617957</x:v>
      </x:c>
    </x:row>
    <x:row r="11" ht="31" customHeight="1">
      <x:c r="A11" s="30" t="n">
        <x:v>7</x:v>
      </x:c>
      <x:c r="B11" s="28" t="str">
        <x:v>WinMart</x:v>
      </x:c>
      <x:c r="C11" s="28" t="str">
        <x:v>Masan</x:v>
      </x:c>
      <x:c r="D11" s="28" t="str">
        <x:v>MEATDeli</x:v>
      </x:c>
      <x:c r="E11" s="28" t="str">
        <x:v>MEATDELI Thịt Nạc vai heo (S)</x:v>
      </x:c>
      <x:c r="F11" s="28" t="str">
        <x:v>440 g｜零售包装/网页标注</x:v>
      </x:c>
      <x:c r="G11" s="28" t="str">
        <x:v>肩肉/梅花肉</x:v>
      </x:c>
      <x:c r="H11" s="28" t="str">
        <x:v>鲜肉/未明示</x:v>
      </x:c>
      <x:c r="I11" s="31" t="n">
        <x:v>440</x:v>
      </x:c>
      <x:c r="J11" s="31" t="n">
        <x:v>74316</x:v>
      </x:c>
      <x:c r="K11" s="31"/>
      <x:c r="L11" s="31" t="n">
        <x:f>IF(OR(I11="",J11=""),"",J11/(I11/1000))</x:f>
        <x:v>168900</x:v>
      </x:c>
      <x:c r="M11" s="31" t="str">
        <x:f>IF(OR(I11="",K11=""),"",K11/(I11/1000))</x:f>
      </x:c>
      <x:c r="N11" s="31" t="n">
        <x:f>IF(M11&lt;&gt;"",M11,L11)</x:f>
        <x:v>168900</x:v>
      </x:c>
      <x:c r="O11" s="32" t="str">
        <x:v>常规公开标价</x:v>
      </x:c>
      <x:c r="P11" s="30" t="str">
        <x:v>缺货</x:v>
      </x:c>
      <x:c r="Q11" s="28" t="str">
        <x:v>线上渠道/门店未固定</x:v>
      </x:c>
      <x:c r="R11" s="28" t="str">
        <x:v>2026-08-04 10:59 (越南时间)</x:v>
      </x:c>
      <x:c r="S11" s="28" t="str">
        <x:v>中</x:v>
      </x:c>
      <x:c r="T11" s="33" t="str">
        <x:v>https://winmart.vn/products/meat-deli-nac-vai-heo-s--s10140279</x:v>
      </x:c>
    </x:row>
    <x:row r="12" ht="31" customHeight="1">
      <x:c r="A12" s="30" t="n">
        <x:v>8</x:v>
      </x:c>
      <x:c r="B12" s="28" t="str">
        <x:v>WinMart</x:v>
      </x:c>
      <x:c r="C12" s="28" t="str">
        <x:v>Masan</x:v>
      </x:c>
      <x:c r="D12" s="28" t="str">
        <x:v>MEATDeli</x:v>
      </x:c>
      <x:c r="E12" s="28" t="str">
        <x:v>MEATDELI [PRE] Thịt Sườn thăn (sườn non) (S)</x:v>
      </x:c>
      <x:c r="F12" s="28" t="str">
        <x:v>431 g｜零售包装/网页标注</x:v>
      </x:c>
      <x:c r="G12" s="28" t="str">
        <x:v>小排</x:v>
      </x:c>
      <x:c r="H12" s="28" t="str">
        <x:v>鲜肉/未明示</x:v>
      </x:c>
      <x:c r="I12" s="31" t="n">
        <x:v>431</x:v>
      </x:c>
      <x:c r="J12" s="31" t="n">
        <x:v>124085</x:v>
      </x:c>
      <x:c r="K12" s="31"/>
      <x:c r="L12" s="31" t="n">
        <x:f>IF(OR(I12="",J12=""),"",J12/(I12/1000))</x:f>
        <x:v>287900.2320185615</x:v>
      </x:c>
      <x:c r="M12" s="31" t="str">
        <x:f>IF(OR(I12="",K12=""),"",K12/(I12/1000))</x:f>
      </x:c>
      <x:c r="N12" s="31" t="n">
        <x:f>IF(M12&lt;&gt;"",M12,L12)</x:f>
        <x:v>287900.2320185615</x:v>
      </x:c>
      <x:c r="O12" s="32" t="str">
        <x:v>常规公开标价</x:v>
      </x:c>
      <x:c r="P12" s="30" t="str">
        <x:v>在售</x:v>
      </x:c>
      <x:c r="Q12" s="28" t="str">
        <x:v>线上渠道/门店未固定</x:v>
      </x:c>
      <x:c r="R12" s="28" t="str">
        <x:v>2026-08-04 10:59 (越南时间)</x:v>
      </x:c>
      <x:c r="S12" s="28" t="str">
        <x:v>中</x:v>
      </x:c>
      <x:c r="T12" s="33" t="str">
        <x:v>https://winmart.vn/products/meat-deli-sig-suon-than-suon-non--s10281593</x:v>
      </x:c>
    </x:row>
    <x:row r="13" ht="31" customHeight="1">
      <x:c r="A13" s="30" t="n">
        <x:v>9</x:v>
      </x:c>
      <x:c r="B13" s="28" t="str">
        <x:v>PorkShop</x:v>
      </x:c>
      <x:c r="C13" s="28" t="str">
        <x:v>PorkShop</x:v>
      </x:c>
      <x:c r="D13" s="28" t="str">
        <x:v>PorkShop</x:v>
      </x:c>
      <x:c r="E13" s="28" t="str">
        <x:v>Thịt Ba Rọi Heo Rút Sườn Tươi 1kg</x:v>
      </x:c>
      <x:c r="F13" s="28" t="str">
        <x:v>1 kg｜零售包装/网页标注</x:v>
      </x:c>
      <x:c r="G13" s="28" t="str">
        <x:v>五花肉</x:v>
      </x:c>
      <x:c r="H13" s="28" t="str">
        <x:v>鲜肉/未明示</x:v>
      </x:c>
      <x:c r="I13" s="31" t="n">
        <x:v>1000</x:v>
      </x:c>
      <x:c r="J13" s="31" t="n">
        <x:v>190000</x:v>
      </x:c>
      <x:c r="K13" s="31"/>
      <x:c r="L13" s="31" t="n">
        <x:f>IF(OR(I13="",J13=""),"",J13/(I13/1000))</x:f>
        <x:v>190000</x:v>
      </x:c>
      <x:c r="M13" s="31" t="str">
        <x:f>IF(OR(I13="",K13=""),"",K13/(I13/1000))</x:f>
      </x:c>
      <x:c r="N13" s="31" t="n">
        <x:f>IF(M13&lt;&gt;"",M13,L13)</x:f>
        <x:v>190000</x:v>
      </x:c>
      <x:c r="O13" s="32" t="str">
        <x:v>常规公开标价</x:v>
      </x:c>
      <x:c r="P13" s="30" t="str">
        <x:v>在售</x:v>
      </x:c>
      <x:c r="Q13" s="28" t="str">
        <x:v>线上渠道/门店未固定</x:v>
      </x:c>
      <x:c r="R13" s="28" t="str">
        <x:v>2026-08-04 10:59 (越南时间)</x:v>
      </x:c>
      <x:c r="S13" s="28" t="str">
        <x:v>中</x:v>
      </x:c>
      <x:c r="T13" s="33" t="str">
        <x:v>https://porkshop.vn/san-pham/thit-ba-roi-heo-rut-suon-tuoi-1kg-porkshop/</x:v>
      </x:c>
    </x:row>
    <x:row r="14" ht="31" customHeight="1">
      <x:c r="A14" s="30" t="n">
        <x:v>10</x:v>
      </x:c>
      <x:c r="B14" s="28" t="str">
        <x:v>PorkShop</x:v>
      </x:c>
      <x:c r="C14" s="28" t="str">
        <x:v>PorkShop</x:v>
      </x:c>
      <x:c r="D14" s="28" t="str">
        <x:v>PorkShop</x:v>
      </x:c>
      <x:c r="E14" s="28" t="str">
        <x:v>Thịt Ba Rọi Heo Tươi 1kg</x:v>
      </x:c>
      <x:c r="F14" s="28" t="str">
        <x:v>1 kg｜零售包装/网页标注</x:v>
      </x:c>
      <x:c r="G14" s="28" t="str">
        <x:v>五花肉</x:v>
      </x:c>
      <x:c r="H14" s="28" t="str">
        <x:v>鲜肉/未明示</x:v>
      </x:c>
      <x:c r="I14" s="31" t="n">
        <x:v>1000</x:v>
      </x:c>
      <x:c r="J14" s="31" t="n">
        <x:v>160000</x:v>
      </x:c>
      <x:c r="K14" s="31"/>
      <x:c r="L14" s="31" t="n">
        <x:f>IF(OR(I14="",J14=""),"",J14/(I14/1000))</x:f>
        <x:v>160000</x:v>
      </x:c>
      <x:c r="M14" s="31" t="str">
        <x:f>IF(OR(I14="",K14=""),"",K14/(I14/1000))</x:f>
      </x:c>
      <x:c r="N14" s="31" t="n">
        <x:f>IF(M14&lt;&gt;"",M14,L14)</x:f>
        <x:v>160000</x:v>
      </x:c>
      <x:c r="O14" s="32" t="str">
        <x:v>常规公开标价</x:v>
      </x:c>
      <x:c r="P14" s="30" t="str">
        <x:v>在售</x:v>
      </x:c>
      <x:c r="Q14" s="28" t="str">
        <x:v>线上渠道/门店未固定</x:v>
      </x:c>
      <x:c r="R14" s="28" t="str">
        <x:v>2026-08-04 10:59 (越南时间)</x:v>
      </x:c>
      <x:c r="S14" s="28" t="str">
        <x:v>中</x:v>
      </x:c>
      <x:c r="T14" s="33" t="str">
        <x:v>https://porkshop.vn/san-pham/thit-ba-roi-heo-tuoi-1kg-porkshop/</x:v>
      </x:c>
    </x:row>
    <x:row r="15" ht="31" customHeight="1">
      <x:c r="A15" s="30" t="n">
        <x:v>11</x:v>
      </x:c>
      <x:c r="B15" s="28" t="str">
        <x:v>PorkShop</x:v>
      </x:c>
      <x:c r="C15" s="28" t="str">
        <x:v>PorkShop</x:v>
      </x:c>
      <x:c r="D15" s="28" t="str">
        <x:v>PorkShop</x:v>
      </x:c>
      <x:c r="E15" s="28" t="str">
        <x:v>Thịt Nạc Vai Heo Tươi 1kg</x:v>
      </x:c>
      <x:c r="F15" s="28" t="str">
        <x:v>1 kg｜零售包装/网页标注</x:v>
      </x:c>
      <x:c r="G15" s="28" t="str">
        <x:v>肩肉/梅花肉</x:v>
      </x:c>
      <x:c r="H15" s="28" t="str">
        <x:v>鲜肉/未明示</x:v>
      </x:c>
      <x:c r="I15" s="31" t="n">
        <x:v>1000</x:v>
      </x:c>
      <x:c r="J15" s="31" t="n">
        <x:v>118000</x:v>
      </x:c>
      <x:c r="K15" s="31"/>
      <x:c r="L15" s="31" t="n">
        <x:f>IF(OR(I15="",J15=""),"",J15/(I15/1000))</x:f>
        <x:v>118000</x:v>
      </x:c>
      <x:c r="M15" s="31" t="str">
        <x:f>IF(OR(I15="",K15=""),"",K15/(I15/1000))</x:f>
      </x:c>
      <x:c r="N15" s="31" t="n">
        <x:f>IF(M15&lt;&gt;"",M15,L15)</x:f>
        <x:v>118000</x:v>
      </x:c>
      <x:c r="O15" s="32" t="str">
        <x:v>常规公开标价</x:v>
      </x:c>
      <x:c r="P15" s="30" t="str">
        <x:v>在售</x:v>
      </x:c>
      <x:c r="Q15" s="28" t="str">
        <x:v>线上渠道/门店未固定</x:v>
      </x:c>
      <x:c r="R15" s="28" t="str">
        <x:v>2026-08-04 10:59 (越南时间)</x:v>
      </x:c>
      <x:c r="S15" s="28" t="str">
        <x:v>中</x:v>
      </x:c>
      <x:c r="T15" s="33" t="str">
        <x:v>https://porkshop.vn/san-pham/thit-nac-vai-heo-tuoi-1kg-porkshop/</x:v>
      </x:c>
    </x:row>
    <x:row r="16" ht="31" customHeight="1">
      <x:c r="A16" s="30" t="n">
        <x:v>12</x:v>
      </x:c>
      <x:c r="B16" s="28" t="str">
        <x:v>PorkShop</x:v>
      </x:c>
      <x:c r="C16" s="28" t="str">
        <x:v>PorkShop</x:v>
      </x:c>
      <x:c r="D16" s="28" t="str">
        <x:v>PorkShop</x:v>
      </x:c>
      <x:c r="E16" s="28" t="str">
        <x:v>Thịt Vai Heo Tươi 1kg</x:v>
      </x:c>
      <x:c r="F16" s="28" t="str">
        <x:v>1 kg｜零售包装/网页标注</x:v>
      </x:c>
      <x:c r="G16" s="28" t="str">
        <x:v>肩肉</x:v>
      </x:c>
      <x:c r="H16" s="28" t="str">
        <x:v>鲜肉/未明示</x:v>
      </x:c>
      <x:c r="I16" s="31" t="n">
        <x:v>1000</x:v>
      </x:c>
      <x:c r="J16" s="31" t="n">
        <x:v>110000</x:v>
      </x:c>
      <x:c r="K16" s="31"/>
      <x:c r="L16" s="31" t="n">
        <x:f>IF(OR(I16="",J16=""),"",J16/(I16/1000))</x:f>
        <x:v>110000</x:v>
      </x:c>
      <x:c r="M16" s="31" t="str">
        <x:f>IF(OR(I16="",K16=""),"",K16/(I16/1000))</x:f>
      </x:c>
      <x:c r="N16" s="31" t="n">
        <x:f>IF(M16&lt;&gt;"",M16,L16)</x:f>
        <x:v>110000</x:v>
      </x:c>
      <x:c r="O16" s="32" t="str">
        <x:v>常规公开标价</x:v>
      </x:c>
      <x:c r="P16" s="30" t="str">
        <x:v>在售</x:v>
      </x:c>
      <x:c r="Q16" s="28" t="str">
        <x:v>线上渠道/门店未固定</x:v>
      </x:c>
      <x:c r="R16" s="28" t="str">
        <x:v>2026-08-04 10:59 (越南时间)</x:v>
      </x:c>
      <x:c r="S16" s="28" t="str">
        <x:v>中</x:v>
      </x:c>
      <x:c r="T16" s="33" t="str">
        <x:v>https://porkshop.vn/san-pham/thit-vai-heo-tuoi-1kg-porkshop/</x:v>
      </x:c>
    </x:row>
    <x:row r="17" ht="31" customHeight="1">
      <x:c r="A17" s="30" t="n">
        <x:v>13</x:v>
      </x:c>
      <x:c r="B17" s="28" t="str">
        <x:v>PorkShop</x:v>
      </x:c>
      <x:c r="C17" s="28" t="str">
        <x:v>PorkShop</x:v>
      </x:c>
      <x:c r="D17" s="28" t="str">
        <x:v>PorkShop</x:v>
      </x:c>
      <x:c r="E17" s="28" t="str">
        <x:v>Thịt ba rọi rút sườn 500g – Porkshop</x:v>
      </x:c>
      <x:c r="F17" s="28" t="str">
        <x:v>500 g｜零售包装/网页标注</x:v>
      </x:c>
      <x:c r="G17" s="28" t="str">
        <x:v>五花肉</x:v>
      </x:c>
      <x:c r="H17" s="28" t="str">
        <x:v>鲜肉/未明示</x:v>
      </x:c>
      <x:c r="I17" s="31" t="n">
        <x:v>500</x:v>
      </x:c>
      <x:c r="J17" s="31" t="n">
        <x:v>200000</x:v>
      </x:c>
      <x:c r="K17" s="31" t="n">
        <x:v>100000</x:v>
      </x:c>
      <x:c r="L17" s="31" t="n">
        <x:f>IF(OR(I17="",J17=""),"",J17/(I17/1000))</x:f>
        <x:v>400000</x:v>
      </x:c>
      <x:c r="M17" s="31" t="n">
        <x:f>IF(OR(I17="",K17=""),"",K17/(I17/1000))</x:f>
        <x:v>200000</x:v>
      </x:c>
      <x:c r="N17" s="31" t="n">
        <x:f>IF(M17&lt;&gt;"",M17,L17)</x:f>
        <x:v>200000</x:v>
      </x:c>
      <x:c r="O17" s="32" t="str">
        <x:v>促销价优先</x:v>
      </x:c>
      <x:c r="P17" s="30" t="str">
        <x:v>在售</x:v>
      </x:c>
      <x:c r="Q17" s="28" t="str">
        <x:v>线上渠道/门店未固定</x:v>
      </x:c>
      <x:c r="R17" s="28" t="str">
        <x:v>2026-08-04 10:59 (越南时间)</x:v>
      </x:c>
      <x:c r="S17" s="28" t="str">
        <x:v>中</x:v>
      </x:c>
      <x:c r="T17" s="33" t="str">
        <x:v>https://porkshop.vn/san-pham/thit-ba-roi-rut-suon-500g-porkshop/</x:v>
      </x:c>
    </x:row>
    <x:row r="18" ht="31" customHeight="1">
      <x:c r="A18" s="30" t="n">
        <x:v>14</x:v>
      </x:c>
      <x:c r="B18" s="28" t="str">
        <x:v>PorkShop</x:v>
      </x:c>
      <x:c r="C18" s="28" t="str">
        <x:v>PorkShop</x:v>
      </x:c>
      <x:c r="D18" s="28" t="str">
        <x:v>PorkShop</x:v>
      </x:c>
      <x:c r="E18" s="28" t="str">
        <x:v>Thịt Thăn Heo Tươi 1kg</x:v>
      </x:c>
      <x:c r="F18" s="28" t="str">
        <x:v>1 kg｜零售包装/网页标注</x:v>
      </x:c>
      <x:c r="G18" s="28" t="str">
        <x:v>里脊</x:v>
      </x:c>
      <x:c r="H18" s="28" t="str">
        <x:v>鲜肉/未明示</x:v>
      </x:c>
      <x:c r="I18" s="31" t="n">
        <x:v>1000</x:v>
      </x:c>
      <x:c r="J18" s="31" t="n">
        <x:v>130000</x:v>
      </x:c>
      <x:c r="K18" s="31"/>
      <x:c r="L18" s="31" t="n">
        <x:f>IF(OR(I18="",J18=""),"",J18/(I18/1000))</x:f>
        <x:v>130000</x:v>
      </x:c>
      <x:c r="M18" s="31" t="str">
        <x:f>IF(OR(I18="",K18=""),"",K18/(I18/1000))</x:f>
      </x:c>
      <x:c r="N18" s="31" t="n">
        <x:f>IF(M18&lt;&gt;"",M18,L18)</x:f>
        <x:v>130000</x:v>
      </x:c>
      <x:c r="O18" s="32" t="str">
        <x:v>常规公开标价</x:v>
      </x:c>
      <x:c r="P18" s="30" t="str">
        <x:v>在售</x:v>
      </x:c>
      <x:c r="Q18" s="28" t="str">
        <x:v>线上渠道/门店未固定</x:v>
      </x:c>
      <x:c r="R18" s="28" t="str">
        <x:v>2026-08-04 10:59 (越南时间)</x:v>
      </x:c>
      <x:c r="S18" s="28" t="str">
        <x:v>中</x:v>
      </x:c>
      <x:c r="T18" s="33" t="str">
        <x:v>https://porkshop.vn/san-pham/thit-than-heo-3tuoi-1kg-porkshop/</x:v>
      </x:c>
    </x:row>
    <x:row r="19" ht="31" customHeight="1">
      <x:c r="A19" s="30" t="n">
        <x:v>15</x:v>
      </x:c>
      <x:c r="B19" s="28" t="str">
        <x:v>PorkShop</x:v>
      </x:c>
      <x:c r="C19" s="28" t="str">
        <x:v>PorkShop</x:v>
      </x:c>
      <x:c r="D19" s="28" t="str">
        <x:v>PorkShop</x:v>
      </x:c>
      <x:c r="E19" s="28" t="str">
        <x:v>Thịt Nách Heo 500g</x:v>
      </x:c>
      <x:c r="F19" s="28" t="str">
        <x:v>500 g｜零售包装/网页标注</x:v>
      </x:c>
      <x:c r="G19" s="28" t="str">
        <x:v>猪腋肉</x:v>
      </x:c>
      <x:c r="H19" s="28" t="str">
        <x:v>鲜肉/未明示</x:v>
      </x:c>
      <x:c r="I19" s="31" t="n">
        <x:v>500</x:v>
      </x:c>
      <x:c r="J19" s="31" t="n">
        <x:v>80000</x:v>
      </x:c>
      <x:c r="K19" s="31"/>
      <x:c r="L19" s="31" t="n">
        <x:f>IF(OR(I19="",J19=""),"",J19/(I19/1000))</x:f>
        <x:v>160000</x:v>
      </x:c>
      <x:c r="M19" s="31" t="str">
        <x:f>IF(OR(I19="",K19=""),"",K19/(I19/1000))</x:f>
      </x:c>
      <x:c r="N19" s="31" t="n">
        <x:f>IF(M19&lt;&gt;"",M19,L19)</x:f>
        <x:v>160000</x:v>
      </x:c>
      <x:c r="O19" s="32" t="str">
        <x:v>常规公开标价</x:v>
      </x:c>
      <x:c r="P19" s="30" t="str">
        <x:v>在售</x:v>
      </x:c>
      <x:c r="Q19" s="28" t="str">
        <x:v>线上渠道/门店未固定</x:v>
      </x:c>
      <x:c r="R19" s="28" t="str">
        <x:v>2026-08-04 10:59 (越南时间)</x:v>
      </x:c>
      <x:c r="S19" s="28" t="str">
        <x:v>中</x:v>
      </x:c>
      <x:c r="T19" s="33" t="str">
        <x:v>https://porkshop.vn/san-pham/thit-nach-heo-500g-porkshop/</x:v>
      </x:c>
    </x:row>
    <x:row r="20" ht="31" customHeight="1">
      <x:c r="A20" s="30" t="n">
        <x:v>16</x:v>
      </x:c>
      <x:c r="B20" s="28" t="str">
        <x:v>PorkShop</x:v>
      </x:c>
      <x:c r="C20" s="28" t="str">
        <x:v>PorkShop</x:v>
      </x:c>
      <x:c r="D20" s="28" t="str">
        <x:v>PorkShop</x:v>
      </x:c>
      <x:c r="E20" s="28" t="str">
        <x:v>Thịt Heo Xay Tươi 1kg</x:v>
      </x:c>
      <x:c r="F20" s="28" t="str">
        <x:v>1 kg｜零售包装/网页标注</x:v>
      </x:c>
      <x:c r="G20" s="28" t="str">
        <x:v>猪肉馅</x:v>
      </x:c>
      <x:c r="H20" s="28" t="str">
        <x:v>鲜肉/未明示</x:v>
      </x:c>
      <x:c r="I20" s="31" t="n">
        <x:v>1000</x:v>
      </x:c>
      <x:c r="J20" s="31" t="n">
        <x:v>110000</x:v>
      </x:c>
      <x:c r="K20" s="31"/>
      <x:c r="L20" s="31" t="n">
        <x:f>IF(OR(I20="",J20=""),"",J20/(I20/1000))</x:f>
        <x:v>110000</x:v>
      </x:c>
      <x:c r="M20" s="31" t="str">
        <x:f>IF(OR(I20="",K20=""),"",K20/(I20/1000))</x:f>
      </x:c>
      <x:c r="N20" s="31" t="n">
        <x:f>IF(M20&lt;&gt;"",M20,L20)</x:f>
        <x:v>110000</x:v>
      </x:c>
      <x:c r="O20" s="32" t="str">
        <x:v>常规公开标价</x:v>
      </x:c>
      <x:c r="P20" s="30" t="str">
        <x:v>在售</x:v>
      </x:c>
      <x:c r="Q20" s="28" t="str">
        <x:v>线上渠道/门店未固定</x:v>
      </x:c>
      <x:c r="R20" s="28" t="str">
        <x:v>2026-08-04 10:59 (越南时间)</x:v>
      </x:c>
      <x:c r="S20" s="28" t="str">
        <x:v>中</x:v>
      </x:c>
      <x:c r="T20" s="33" t="str">
        <x:v>https://porkshop.vn/san-pham/thit-heo-xay-tuoi-1kg-porkshop/</x:v>
      </x:c>
    </x:row>
    <x:row r="21" ht="31" customHeight="1">
      <x:c r="A21" s="30" t="n">
        <x:v>17</x:v>
      </x:c>
      <x:c r="B21" s="28" t="str">
        <x:v>PorkShop</x:v>
      </x:c>
      <x:c r="C21" s="28" t="str">
        <x:v>PorkShop</x:v>
      </x:c>
      <x:c r="D21" s="28" t="str">
        <x:v>PorkShop</x:v>
      </x:c>
      <x:c r="E21" s="28" t="str">
        <x:v>Thịt Đùi Heo Tươi 1kg</x:v>
      </x:c>
      <x:c r="F21" s="28" t="str">
        <x:v>1 kg｜零售包装/网页标注</x:v>
      </x:c>
      <x:c r="G21" s="28" t="str">
        <x:v>后腿肉</x:v>
      </x:c>
      <x:c r="H21" s="28" t="str">
        <x:v>鲜肉/未明示</x:v>
      </x:c>
      <x:c r="I21" s="31" t="n">
        <x:v>1000</x:v>
      </x:c>
      <x:c r="J21" s="31" t="n">
        <x:v>110000</x:v>
      </x:c>
      <x:c r="K21" s="31"/>
      <x:c r="L21" s="31" t="n">
        <x:f>IF(OR(I21="",J21=""),"",J21/(I21/1000))</x:f>
        <x:v>110000</x:v>
      </x:c>
      <x:c r="M21" s="31" t="str">
        <x:f>IF(OR(I21="",K21=""),"",K21/(I21/1000))</x:f>
      </x:c>
      <x:c r="N21" s="31" t="n">
        <x:f>IF(M21&lt;&gt;"",M21,L21)</x:f>
        <x:v>110000</x:v>
      </x:c>
      <x:c r="O21" s="32" t="str">
        <x:v>常规公开标价</x:v>
      </x:c>
      <x:c r="P21" s="30" t="str">
        <x:v>在售</x:v>
      </x:c>
      <x:c r="Q21" s="28" t="str">
        <x:v>线上渠道/门店未固定</x:v>
      </x:c>
      <x:c r="R21" s="28" t="str">
        <x:v>2026-08-04 10:59 (越南时间)</x:v>
      </x:c>
      <x:c r="S21" s="28" t="str">
        <x:v>中</x:v>
      </x:c>
      <x:c r="T21" s="33" t="str">
        <x:v>https://porkshop.vn/san-pham/thit-dui-heo-tuoi-1kg-porkshop/</x:v>
      </x:c>
    </x:row>
    <x:row r="22" ht="31" customHeight="1">
      <x:c r="A22" s="30" t="n">
        <x:v>18</x:v>
      </x:c>
      <x:c r="B22" s="28" t="str">
        <x:v>PorkShop</x:v>
      </x:c>
      <x:c r="C22" s="28" t="str">
        <x:v>PorkShop</x:v>
      </x:c>
      <x:c r="D22" s="28" t="str">
        <x:v>PorkShop</x:v>
      </x:c>
      <x:c r="E22" s="28" t="str">
        <x:v>Cốt lết heo tươi 1kg</x:v>
      </x:c>
      <x:c r="F22" s="28" t="str">
        <x:v>1 kg｜零售包装/网页标注</x:v>
      </x:c>
      <x:c r="G22" s="28" t="str">
        <x:v>猪排</x:v>
      </x:c>
      <x:c r="H22" s="28" t="str">
        <x:v>鲜肉/未明示</x:v>
      </x:c>
      <x:c r="I22" s="31" t="n">
        <x:v>1000</x:v>
      </x:c>
      <x:c r="J22" s="31" t="n">
        <x:v>120000</x:v>
      </x:c>
      <x:c r="K22" s="31"/>
      <x:c r="L22" s="31" t="n">
        <x:f>IF(OR(I22="",J22=""),"",J22/(I22/1000))</x:f>
        <x:v>120000</x:v>
      </x:c>
      <x:c r="M22" s="31" t="str">
        <x:f>IF(OR(I22="",K22=""),"",K22/(I22/1000))</x:f>
      </x:c>
      <x:c r="N22" s="31" t="n">
        <x:f>IF(M22&lt;&gt;"",M22,L22)</x:f>
        <x:v>120000</x:v>
      </x:c>
      <x:c r="O22" s="32" t="str">
        <x:v>常规公开标价</x:v>
      </x:c>
      <x:c r="P22" s="30" t="str">
        <x:v>在售</x:v>
      </x:c>
      <x:c r="Q22" s="28" t="str">
        <x:v>线上渠道/门店未固定</x:v>
      </x:c>
      <x:c r="R22" s="28" t="str">
        <x:v>2026-08-04 10:59 (越南时间)</x:v>
      </x:c>
      <x:c r="S22" s="28" t="str">
        <x:v>中</x:v>
      </x:c>
      <x:c r="T22" s="33" t="str">
        <x:v>https://porkshop.vn/san-pham/cot-lech-heo-tuoi-1kg-porkshop/</x:v>
      </x:c>
    </x:row>
    <x:row r="23" ht="31" customHeight="1">
      <x:c r="A23" s="30" t="n">
        <x:v>19</x:v>
      </x:c>
      <x:c r="B23" s="28" t="str">
        <x:v>PorkShop</x:v>
      </x:c>
      <x:c r="C23" s="28" t="str">
        <x:v>PorkShop</x:v>
      </x:c>
      <x:c r="D23" s="28" t="str">
        <x:v>PorkShop</x:v>
      </x:c>
      <x:c r="E23" s="28" t="str">
        <x:v>Nạc đùi heo tươi 1kg</x:v>
      </x:c>
      <x:c r="F23" s="28" t="str">
        <x:v>1 kg｜零售包装/网页标注</x:v>
      </x:c>
      <x:c r="G23" s="28" t="str">
        <x:v>后腿瘦肉</x:v>
      </x:c>
      <x:c r="H23" s="28" t="str">
        <x:v>鲜肉/未明示</x:v>
      </x:c>
      <x:c r="I23" s="31" t="n">
        <x:v>1000</x:v>
      </x:c>
      <x:c r="J23" s="31" t="n">
        <x:v>118000</x:v>
      </x:c>
      <x:c r="K23" s="31"/>
      <x:c r="L23" s="31" t="n">
        <x:f>IF(OR(I23="",J23=""),"",J23/(I23/1000))</x:f>
        <x:v>118000</x:v>
      </x:c>
      <x:c r="M23" s="31" t="str">
        <x:f>IF(OR(I23="",K23=""),"",K23/(I23/1000))</x:f>
      </x:c>
      <x:c r="N23" s="31" t="n">
        <x:f>IF(M23&lt;&gt;"",M23,L23)</x:f>
        <x:v>118000</x:v>
      </x:c>
      <x:c r="O23" s="32" t="str">
        <x:v>常规公开标价</x:v>
      </x:c>
      <x:c r="P23" s="30" t="str">
        <x:v>在售</x:v>
      </x:c>
      <x:c r="Q23" s="28" t="str">
        <x:v>线上渠道/门店未固定</x:v>
      </x:c>
      <x:c r="R23" s="28" t="str">
        <x:v>2026-08-04 10:59 (越南时间)</x:v>
      </x:c>
      <x:c r="S23" s="28" t="str">
        <x:v>中</x:v>
      </x:c>
      <x:c r="T23" s="33" t="str">
        <x:v>https://porkshop.vn/san-pham/ncj-dui-heo-tuoi-1kg-porkshop/</x:v>
      </x:c>
    </x:row>
    <x:row r="24" ht="31" customHeight="1">
      <x:c r="A24" s="30" t="n">
        <x:v>20</x:v>
      </x:c>
      <x:c r="B24" s="28" t="str">
        <x:v>PorkShop</x:v>
      </x:c>
      <x:c r="C24" s="28" t="str">
        <x:v>PorkShop</x:v>
      </x:c>
      <x:c r="D24" s="28" t="str">
        <x:v>PorkShop</x:v>
      </x:c>
      <x:c r="E24" s="28" t="str">
        <x:v>Nạc Dăm Heo Tươi 1kg</x:v>
      </x:c>
      <x:c r="F24" s="28" t="str">
        <x:v>1 kg｜零售包装/网页标注</x:v>
      </x:c>
      <x:c r="G24" s="28" t="str">
        <x:v>梅花肉</x:v>
      </x:c>
      <x:c r="H24" s="28" t="str">
        <x:v>鲜肉/未明示</x:v>
      </x:c>
      <x:c r="I24" s="31" t="n">
        <x:v>1000</x:v>
      </x:c>
      <x:c r="J24" s="31" t="n">
        <x:v>135000</x:v>
      </x:c>
      <x:c r="K24" s="31"/>
      <x:c r="L24" s="31" t="n">
        <x:f>IF(OR(I24="",J24=""),"",J24/(I24/1000))</x:f>
        <x:v>135000</x:v>
      </x:c>
      <x:c r="M24" s="31" t="str">
        <x:f>IF(OR(I24="",K24=""),"",K24/(I24/1000))</x:f>
      </x:c>
      <x:c r="N24" s="31" t="n">
        <x:f>IF(M24&lt;&gt;"",M24,L24)</x:f>
        <x:v>135000</x:v>
      </x:c>
      <x:c r="O24" s="32" t="str">
        <x:v>常规公开标价</x:v>
      </x:c>
      <x:c r="P24" s="30" t="str">
        <x:v>在售</x:v>
      </x:c>
      <x:c r="Q24" s="28" t="str">
        <x:v>线上渠道/门店未固定</x:v>
      </x:c>
      <x:c r="R24" s="28" t="str">
        <x:v>2026-08-04 10:59 (越南时间)</x:v>
      </x:c>
      <x:c r="S24" s="28" t="str">
        <x:v>中</x:v>
      </x:c>
      <x:c r="T24" s="33" t="str">
        <x:v>https://porkshop.vn/san-pham/nac-dam-heo-tuoi-1kg-porkshop/</x:v>
      </x:c>
    </x:row>
    <x:row r="25" ht="31" customHeight="1">
      <x:c r="A25" s="30" t="n">
        <x:v>21</x:v>
      </x:c>
      <x:c r="B25" s="28" t="str">
        <x:v>PorkShop</x:v>
      </x:c>
      <x:c r="C25" s="28" t="str">
        <x:v>PorkShop</x:v>
      </x:c>
      <x:c r="D25" s="28" t="str">
        <x:v>PorkShop</x:v>
      </x:c>
      <x:c r="E25" s="28" t="str">
        <x:v>Sườn Non Heo Tươi 1kg</x:v>
      </x:c>
      <x:c r="F25" s="28" t="str">
        <x:v>1 kg｜零售包装/网页标注</x:v>
      </x:c>
      <x:c r="G25" s="28" t="str">
        <x:v>小排</x:v>
      </x:c>
      <x:c r="H25" s="28" t="str">
        <x:v>鲜肉/未明示</x:v>
      </x:c>
      <x:c r="I25" s="31" t="n">
        <x:v>1000</x:v>
      </x:c>
      <x:c r="J25" s="31" t="n">
        <x:v>190000</x:v>
      </x:c>
      <x:c r="K25" s="31"/>
      <x:c r="L25" s="31" t="n">
        <x:f>IF(OR(I25="",J25=""),"",J25/(I25/1000))</x:f>
        <x:v>190000</x:v>
      </x:c>
      <x:c r="M25" s="31" t="str">
        <x:f>IF(OR(I25="",K25=""),"",K25/(I25/1000))</x:f>
      </x:c>
      <x:c r="N25" s="31" t="n">
        <x:f>IF(M25&lt;&gt;"",M25,L25)</x:f>
        <x:v>190000</x:v>
      </x:c>
      <x:c r="O25" s="32" t="str">
        <x:v>常规公开标价</x:v>
      </x:c>
      <x:c r="P25" s="30" t="str">
        <x:v>在售</x:v>
      </x:c>
      <x:c r="Q25" s="28" t="str">
        <x:v>线上渠道/门店未固定</x:v>
      </x:c>
      <x:c r="R25" s="28" t="str">
        <x:v>2026-08-04 10:59 (越南时间)</x:v>
      </x:c>
      <x:c r="S25" s="28" t="str">
        <x:v>中</x:v>
      </x:c>
      <x:c r="T25" s="33" t="str">
        <x:v>https://porkshop.vn/san-pham/suon-non-heo-tuoi-1kg-porkshop/</x:v>
      </x:c>
    </x:row>
    <x:row r="26" ht="31" customHeight="1">
      <x:c r="A26" s="30" t="n">
        <x:v>22</x:v>
      </x:c>
      <x:c r="B26" s="28" t="str">
        <x:v>PorkShop</x:v>
      </x:c>
      <x:c r="C26" s="28" t="str">
        <x:v>PorkShop</x:v>
      </x:c>
      <x:c r="D26" s="28" t="str">
        <x:v>PorkShop</x:v>
      </x:c>
      <x:c r="E26" s="28" t="str">
        <x:v>Chân Giò Heo Sau Tươi 1kg</x:v>
      </x:c>
      <x:c r="F26" s="28" t="str">
        <x:v>1 kg｜零售包装/网页标注</x:v>
      </x:c>
      <x:c r="G26" s="28" t="str">
        <x:v>猪蹄/肘子</x:v>
      </x:c>
      <x:c r="H26" s="28" t="str">
        <x:v>鲜肉/未明示</x:v>
      </x:c>
      <x:c r="I26" s="31" t="n">
        <x:v>1000</x:v>
      </x:c>
      <x:c r="J26" s="31" t="n">
        <x:v>85000</x:v>
      </x:c>
      <x:c r="K26" s="31"/>
      <x:c r="L26" s="31" t="n">
        <x:f>IF(OR(I26="",J26=""),"",J26/(I26/1000))</x:f>
        <x:v>85000</x:v>
      </x:c>
      <x:c r="M26" s="31" t="str">
        <x:f>IF(OR(I26="",K26=""),"",K26/(I26/1000))</x:f>
      </x:c>
      <x:c r="N26" s="31" t="n">
        <x:f>IF(M26&lt;&gt;"",M26,L26)</x:f>
        <x:v>85000</x:v>
      </x:c>
      <x:c r="O26" s="32" t="str">
        <x:v>常规公开标价</x:v>
      </x:c>
      <x:c r="P26" s="30" t="str">
        <x:v>在售</x:v>
      </x:c>
      <x:c r="Q26" s="28" t="str">
        <x:v>线上渠道/门店未固定</x:v>
      </x:c>
      <x:c r="R26" s="28" t="str">
        <x:v>2026-08-04 10:59 (越南时间)</x:v>
      </x:c>
      <x:c r="S26" s="28" t="str">
        <x:v>中</x:v>
      </x:c>
      <x:c r="T26" s="33" t="str">
        <x:v>https://porkshop.vn/san-pham/chan-gio-heo-sau-dung-heo-sau-1kg-porkshop/</x:v>
      </x:c>
    </x:row>
    <x:row r="27" ht="31" customHeight="1">
      <x:c r="A27" s="30" t="n">
        <x:v>23</x:v>
      </x:c>
      <x:c r="B27" s="28" t="str">
        <x:v>VissanMart</x:v>
      </x:c>
      <x:c r="C27" s="28" t="str">
        <x:v>VISSAN</x:v>
      </x:c>
      <x:c r="D27" s="28" t="str">
        <x:v>VISSAN</x:v>
      </x:c>
      <x:c r="E27" s="28" t="str">
        <x:v>DA HEO LỚN VIETGAP 200G (VSM)</x:v>
      </x:c>
      <x:c r="F27" s="28" t="str">
        <x:v>200 g｜VietGAP</x:v>
      </x:c>
      <x:c r="G27" s="28" t="str">
        <x:v>猪皮</x:v>
      </x:c>
      <x:c r="H27" s="28" t="str">
        <x:v>鲜肉/未明示</x:v>
      </x:c>
      <x:c r="I27" s="31" t="n">
        <x:v>200</x:v>
      </x:c>
      <x:c r="J27" s="31" t="n">
        <x:v>12000</x:v>
      </x:c>
      <x:c r="K27" s="31"/>
      <x:c r="L27" s="31" t="n">
        <x:f>IF(OR(I27="",J27=""),"",J27/(I27/1000))</x:f>
        <x:v>60000</x:v>
      </x:c>
      <x:c r="M27" s="31" t="str">
        <x:f>IF(OR(I27="",K27=""),"",K27/(I27/1000))</x:f>
      </x:c>
      <x:c r="N27" s="31" t="n">
        <x:f>IF(M27&lt;&gt;"",M27,L27)</x:f>
        <x:v>60000</x:v>
      </x:c>
      <x:c r="O27" s="32" t="str">
        <x:v>常规公开标价</x:v>
      </x:c>
      <x:c r="P27" s="30" t="str">
        <x:v>在售</x:v>
      </x:c>
      <x:c r="Q27" s="28" t="str">
        <x:v>线上渠道/门店未固定</x:v>
      </x:c>
      <x:c r="R27" s="28" t="str">
        <x:v>2026-08-04 10:59 (越南时间)</x:v>
      </x:c>
      <x:c r="S27" s="28" t="str">
        <x:v>中</x:v>
      </x:c>
      <x:c r="T27" s="33" t="str">
        <x:v>https://vissanmart.com/da-heo-l-n-vietgap-200g-vsm.html</x:v>
      </x:c>
    </x:row>
    <x:row r="28" ht="31" customHeight="1">
      <x:c r="A28" s="30" t="n">
        <x:v>24</x:v>
      </x:c>
      <x:c r="B28" s="28" t="str">
        <x:v>VissanMart</x:v>
      </x:c>
      <x:c r="C28" s="28" t="str">
        <x:v>VISSAN</x:v>
      </x:c>
      <x:c r="D28" s="28" t="str">
        <x:v>VISSAN</x:v>
      </x:c>
      <x:c r="E28" s="28" t="str">
        <x:v>XƯƠNG BỘ HEO VIETGAP 200G (VSM)</x:v>
      </x:c>
      <x:c r="F28" s="28" t="str">
        <x:v>200 g｜VietGAP</x:v>
      </x:c>
      <x:c r="G28" s="28" t="str">
        <x:v>杂骨</x:v>
      </x:c>
      <x:c r="H28" s="28" t="str">
        <x:v>鲜肉/未明示</x:v>
      </x:c>
      <x:c r="I28" s="31" t="n">
        <x:v>200</x:v>
      </x:c>
      <x:c r="J28" s="31" t="n">
        <x:v>15000</x:v>
      </x:c>
      <x:c r="K28" s="31"/>
      <x:c r="L28" s="31" t="n">
        <x:f>IF(OR(I28="",J28=""),"",J28/(I28/1000))</x:f>
        <x:v>75000</x:v>
      </x:c>
      <x:c r="M28" s="31" t="str">
        <x:f>IF(OR(I28="",K28=""),"",K28/(I28/1000))</x:f>
      </x:c>
      <x:c r="N28" s="31" t="n">
        <x:f>IF(M28&lt;&gt;"",M28,L28)</x:f>
        <x:v>75000</x:v>
      </x:c>
      <x:c r="O28" s="32" t="str">
        <x:v>常规公开标价</x:v>
      </x:c>
      <x:c r="P28" s="30" t="str">
        <x:v>在售</x:v>
      </x:c>
      <x:c r="Q28" s="28" t="str">
        <x:v>线上渠道/门店未固定</x:v>
      </x:c>
      <x:c r="R28" s="28" t="str">
        <x:v>2026-08-04 10:59 (越南时间)</x:v>
      </x:c>
      <x:c r="S28" s="28" t="str">
        <x:v>中</x:v>
      </x:c>
      <x:c r="T28" s="33" t="str">
        <x:v>https://vissanmart.com/xuong-b-heo-vietgap-200g-vsm.html</x:v>
      </x:c>
    </x:row>
    <x:row r="29" ht="31" customHeight="1">
      <x:c r="A29" s="30" t="n">
        <x:v>25</x:v>
      </x:c>
      <x:c r="B29" s="28" t="str">
        <x:v>VissanMart</x:v>
      </x:c>
      <x:c r="C29" s="28" t="str">
        <x:v>VISSAN</x:v>
      </x:c>
      <x:c r="D29" s="28" t="str">
        <x:v>VISSAN</x:v>
      </x:c>
      <x:c r="E29" s="28" t="str">
        <x:v>SƯỜN SỐNG HEO VIETGAP 200G (VSM)</x:v>
      </x:c>
      <x:c r="F29" s="28" t="str">
        <x:v>200 g｜VietGAP</x:v>
      </x:c>
      <x:c r="G29" s="28" t="str">
        <x:v>脊骨</x:v>
      </x:c>
      <x:c r="H29" s="28" t="str">
        <x:v>鲜肉/未明示</x:v>
      </x:c>
      <x:c r="I29" s="31" t="n">
        <x:v>200</x:v>
      </x:c>
      <x:c r="J29" s="31" t="n">
        <x:v>24000</x:v>
      </x:c>
      <x:c r="K29" s="31"/>
      <x:c r="L29" s="31" t="n">
        <x:f>IF(OR(I29="",J29=""),"",J29/(I29/1000))</x:f>
        <x:v>120000</x:v>
      </x:c>
      <x:c r="M29" s="31" t="str">
        <x:f>IF(OR(I29="",K29=""),"",K29/(I29/1000))</x:f>
      </x:c>
      <x:c r="N29" s="31" t="n">
        <x:f>IF(M29&lt;&gt;"",M29,L29)</x:f>
        <x:v>120000</x:v>
      </x:c>
      <x:c r="O29" s="32" t="str">
        <x:v>常规公开标价</x:v>
      </x:c>
      <x:c r="P29" s="30" t="str">
        <x:v>在售</x:v>
      </x:c>
      <x:c r="Q29" s="28" t="str">
        <x:v>线上渠道/门店未固定</x:v>
      </x:c>
      <x:c r="R29" s="28" t="str">
        <x:v>2026-08-04 10:59 (越南时间)</x:v>
      </x:c>
      <x:c r="S29" s="28" t="str">
        <x:v>中</x:v>
      </x:c>
      <x:c r="T29" s="33" t="str">
        <x:v>https://vissanmart.com/su-n-s-ng-heo-vietgap-200g-vsm.html</x:v>
      </x:c>
    </x:row>
    <x:row r="30" ht="31" customHeight="1">
      <x:c r="A30" s="30" t="n">
        <x:v>26</x:v>
      </x:c>
      <x:c r="B30" s="28" t="str">
        <x:v>VissanMart</x:v>
      </x:c>
      <x:c r="C30" s="28" t="str">
        <x:v>VISSAN</x:v>
      </x:c>
      <x:c r="D30" s="28" t="str">
        <x:v>VISSAN</x:v>
      </x:c>
      <x:c r="E30" s="28" t="str">
        <x:v>XƯƠNG ỐNG HEO VIETGAP 200G (VSM)</x:v>
      </x:c>
      <x:c r="F30" s="28" t="str">
        <x:v>200 g｜VietGAP</x:v>
      </x:c>
      <x:c r="G30" s="28" t="str">
        <x:v>筒骨</x:v>
      </x:c>
      <x:c r="H30" s="28" t="str">
        <x:v>鲜肉/未明示</x:v>
      </x:c>
      <x:c r="I30" s="31" t="n">
        <x:v>200</x:v>
      </x:c>
      <x:c r="J30" s="31" t="n">
        <x:v>24000</x:v>
      </x:c>
      <x:c r="K30" s="31"/>
      <x:c r="L30" s="31" t="n">
        <x:f>IF(OR(I30="",J30=""),"",J30/(I30/1000))</x:f>
        <x:v>120000</x:v>
      </x:c>
      <x:c r="M30" s="31" t="str">
        <x:f>IF(OR(I30="",K30=""),"",K30/(I30/1000))</x:f>
      </x:c>
      <x:c r="N30" s="31" t="n">
        <x:f>IF(M30&lt;&gt;"",M30,L30)</x:f>
        <x:v>120000</x:v>
      </x:c>
      <x:c r="O30" s="32" t="str">
        <x:v>常规公开标价</x:v>
      </x:c>
      <x:c r="P30" s="30" t="str">
        <x:v>在售</x:v>
      </x:c>
      <x:c r="Q30" s="28" t="str">
        <x:v>线上渠道/门店未固定</x:v>
      </x:c>
      <x:c r="R30" s="28" t="str">
        <x:v>2026-08-04 10:59 (越南时间)</x:v>
      </x:c>
      <x:c r="S30" s="28" t="str">
        <x:v>中</x:v>
      </x:c>
      <x:c r="T30" s="33" t="str">
        <x:v>https://vissanmart.com/xuong-ng-heo-vietgap-200g-vsm.html</x:v>
      </x:c>
    </x:row>
    <x:row r="31" ht="31" customHeight="1">
      <x:c r="A31" s="30" t="n">
        <x:v>27</x:v>
      </x:c>
      <x:c r="B31" s="28" t="str">
        <x:v>VissanMart</x:v>
      </x:c>
      <x:c r="C31" s="28" t="str">
        <x:v>VISSAN</x:v>
      </x:c>
      <x:c r="D31" s="28" t="str">
        <x:v>VISSAN</x:v>
      </x:c>
      <x:c r="E31" s="28" t="str">
        <x:v>SƯỜN CHẶT HEO VIETGAP 200G (VSM)</x:v>
      </x:c>
      <x:c r="F31" s="28" t="str">
        <x:v>200 g｜VietGAP</x:v>
      </x:c>
      <x:c r="G31" s="28" t="str">
        <x:v>其他猪肉部位</x:v>
      </x:c>
      <x:c r="H31" s="28" t="str">
        <x:v>鲜肉/未明示</x:v>
      </x:c>
      <x:c r="I31" s="31" t="n">
        <x:v>200</x:v>
      </x:c>
      <x:c r="J31" s="31" t="n">
        <x:v>40000</x:v>
      </x:c>
      <x:c r="K31" s="31"/>
      <x:c r="L31" s="31" t="n">
        <x:f>IF(OR(I31="",J31=""),"",J31/(I31/1000))</x:f>
        <x:v>200000</x:v>
      </x:c>
      <x:c r="M31" s="31" t="str">
        <x:f>IF(OR(I31="",K31=""),"",K31/(I31/1000))</x:f>
      </x:c>
      <x:c r="N31" s="31" t="n">
        <x:f>IF(M31&lt;&gt;"",M31,L31)</x:f>
        <x:v>200000</x:v>
      </x:c>
      <x:c r="O31" s="32" t="str">
        <x:v>常规公开标价</x:v>
      </x:c>
      <x:c r="P31" s="30" t="str">
        <x:v>在售</x:v>
      </x:c>
      <x:c r="Q31" s="28" t="str">
        <x:v>线上渠道/门店未固定</x:v>
      </x:c>
      <x:c r="R31" s="28" t="str">
        <x:v>2026-08-04 10:59 (越南时间)</x:v>
      </x:c>
      <x:c r="S31" s="28" t="str">
        <x:v>中</x:v>
      </x:c>
      <x:c r="T31" s="33" t="str">
        <x:v>https://vissanmart.com/su-n-ch-t-heo-vietgap-200g-vsm.html</x:v>
      </x:c>
    </x:row>
    <x:row r="32" ht="31" customHeight="1">
      <x:c r="A32" s="30" t="n">
        <x:v>28</x:v>
      </x:c>
      <x:c r="B32" s="28" t="str">
        <x:v>VissanMart</x:v>
      </x:c>
      <x:c r="C32" s="28" t="str">
        <x:v>VISSAN</x:v>
      </x:c>
      <x:c r="D32" s="28" t="str">
        <x:v>VISSAN</x:v>
      </x:c>
      <x:c r="E32" s="28" t="str">
        <x:v>DỰNG HEO VIETGAP 200G (VSM)</x:v>
      </x:c>
      <x:c r="F32" s="28" t="str">
        <x:v>200 g｜VietGAP</x:v>
      </x:c>
      <x:c r="G32" s="28" t="str">
        <x:v>猪肘</x:v>
      </x:c>
      <x:c r="H32" s="28" t="str">
        <x:v>鲜肉/未明示</x:v>
      </x:c>
      <x:c r="I32" s="31" t="n">
        <x:v>200</x:v>
      </x:c>
      <x:c r="J32" s="31" t="n">
        <x:v>24600</x:v>
      </x:c>
      <x:c r="K32" s="31"/>
      <x:c r="L32" s="31" t="n">
        <x:f>IF(OR(I32="",J32=""),"",J32/(I32/1000))</x:f>
        <x:v>123000</x:v>
      </x:c>
      <x:c r="M32" s="31" t="str">
        <x:f>IF(OR(I32="",K32=""),"",K32/(I32/1000))</x:f>
      </x:c>
      <x:c r="N32" s="31" t="n">
        <x:f>IF(M32&lt;&gt;"",M32,L32)</x:f>
        <x:v>123000</x:v>
      </x:c>
      <x:c r="O32" s="32" t="str">
        <x:v>常规公开标价</x:v>
      </x:c>
      <x:c r="P32" s="30" t="str">
        <x:v>在售</x:v>
      </x:c>
      <x:c r="Q32" s="28" t="str">
        <x:v>线上渠道/门店未固定</x:v>
      </x:c>
      <x:c r="R32" s="28" t="str">
        <x:v>2026-08-04 10:59 (越南时间)</x:v>
      </x:c>
      <x:c r="S32" s="28" t="str">
        <x:v>中</x:v>
      </x:c>
      <x:c r="T32" s="33" t="str">
        <x:v>https://vissanmart.com/d-ng-heo-vietgap-200g-vsm.html</x:v>
      </x:c>
    </x:row>
    <x:row r="33" ht="31" customHeight="1">
      <x:c r="A33" s="30" t="n">
        <x:v>29</x:v>
      </x:c>
      <x:c r="B33" s="28" t="str">
        <x:v>VissanMart</x:v>
      </x:c>
      <x:c r="C33" s="28" t="str">
        <x:v>VISSAN</x:v>
      </x:c>
      <x:c r="D33" s="28" t="str">
        <x:v>VISSAN</x:v>
      </x:c>
      <x:c r="E33" s="28" t="str">
        <x:v>ĐUÔI HEO VIETGAP 200G (VSM)</x:v>
      </x:c>
      <x:c r="F33" s="28" t="str">
        <x:v>200 g｜VietGAP</x:v>
      </x:c>
      <x:c r="G33" s="28" t="str">
        <x:v>猪尾</x:v>
      </x:c>
      <x:c r="H33" s="28" t="str">
        <x:v>鲜肉/未明示</x:v>
      </x:c>
      <x:c r="I33" s="31" t="n">
        <x:v>200</x:v>
      </x:c>
      <x:c r="J33" s="31" t="n">
        <x:v>57600</x:v>
      </x:c>
      <x:c r="K33" s="31"/>
      <x:c r="L33" s="31" t="n">
        <x:f>IF(OR(I33="",J33=""),"",J33/(I33/1000))</x:f>
        <x:v>288000</x:v>
      </x:c>
      <x:c r="M33" s="31" t="str">
        <x:f>IF(OR(I33="",K33=""),"",K33/(I33/1000))</x:f>
      </x:c>
      <x:c r="N33" s="31" t="n">
        <x:f>IF(M33&lt;&gt;"",M33,L33)</x:f>
        <x:v>288000</x:v>
      </x:c>
      <x:c r="O33" s="32" t="str">
        <x:v>常规公开标价</x:v>
      </x:c>
      <x:c r="P33" s="30" t="str">
        <x:v>在售</x:v>
      </x:c>
      <x:c r="Q33" s="28" t="str">
        <x:v>线上渠道/门店未固定</x:v>
      </x:c>
      <x:c r="R33" s="28" t="str">
        <x:v>2026-08-04 10:59 (越南时间)</x:v>
      </x:c>
      <x:c r="S33" s="28" t="str">
        <x:v>中</x:v>
      </x:c>
      <x:c r="T33" s="33" t="str">
        <x:v>https://vissanmart.com/duoi-heo-vietgap-200g-vsm.html</x:v>
      </x:c>
    </x:row>
    <x:row r="34" ht="31" customHeight="1">
      <x:c r="A34" s="30" t="n">
        <x:v>30</x:v>
      </x:c>
      <x:c r="B34" s="28" t="str">
        <x:v>VissanMart</x:v>
      </x:c>
      <x:c r="C34" s="28" t="str">
        <x:v>VISSAN</x:v>
      </x:c>
      <x:c r="D34" s="28" t="str">
        <x:v>VISSAN</x:v>
      </x:c>
      <x:c r="E34" s="28" t="str">
        <x:v>SỤN GỐI HEO VIETGAP 200G (VSM)</x:v>
      </x:c>
      <x:c r="F34" s="28" t="str">
        <x:v>200 g｜VietGAP</x:v>
      </x:c>
      <x:c r="G34" s="28" t="str">
        <x:v>猪软骨</x:v>
      </x:c>
      <x:c r="H34" s="28" t="str">
        <x:v>鲜肉/未明示</x:v>
      </x:c>
      <x:c r="I34" s="31" t="n">
        <x:v>200</x:v>
      </x:c>
      <x:c r="J34" s="31" t="n">
        <x:v>56000</x:v>
      </x:c>
      <x:c r="K34" s="31"/>
      <x:c r="L34" s="31" t="n">
        <x:f>IF(OR(I34="",J34=""),"",J34/(I34/1000))</x:f>
        <x:v>280000</x:v>
      </x:c>
      <x:c r="M34" s="31" t="str">
        <x:f>IF(OR(I34="",K34=""),"",K34/(I34/1000))</x:f>
      </x:c>
      <x:c r="N34" s="31" t="n">
        <x:f>IF(M34&lt;&gt;"",M34,L34)</x:f>
        <x:v>280000</x:v>
      </x:c>
      <x:c r="O34" s="32" t="str">
        <x:v>常规公开标价</x:v>
      </x:c>
      <x:c r="P34" s="30" t="str">
        <x:v>在售</x:v>
      </x:c>
      <x:c r="Q34" s="28" t="str">
        <x:v>线上渠道/门店未固定</x:v>
      </x:c>
      <x:c r="R34" s="28" t="str">
        <x:v>2026-08-04 10:59 (越南时间)</x:v>
      </x:c>
      <x:c r="S34" s="28" t="str">
        <x:v>中</x:v>
      </x:c>
      <x:c r="T34" s="33" t="str">
        <x:v>https://vissanmart.com/s-n-g-i-heo-vietgap-200g-vsm.html</x:v>
      </x:c>
    </x:row>
    <x:row r="35" ht="31" customHeight="1">
      <x:c r="A35" s="30" t="n">
        <x:v>31</x:v>
      </x:c>
      <x:c r="B35" s="28" t="str">
        <x:v>VissanMart</x:v>
      </x:c>
      <x:c r="C35" s="28" t="str">
        <x:v>VISSAN</x:v>
      </x:c>
      <x:c r="D35" s="28" t="str">
        <x:v>VISSAN</x:v>
      </x:c>
      <x:c r="E35" s="28" t="str">
        <x:v>GIÒ HEO RÚT XƯƠNG VIETGAP 200G (VSM)</x:v>
      </x:c>
      <x:c r="F35" s="28" t="str">
        <x:v>200 g｜VietGAP</x:v>
      </x:c>
      <x:c r="G35" s="28" t="str">
        <x:v>猪蹄/肘子</x:v>
      </x:c>
      <x:c r="H35" s="28" t="str">
        <x:v>鲜肉/未明示</x:v>
      </x:c>
      <x:c r="I35" s="31" t="n">
        <x:v>200</x:v>
      </x:c>
      <x:c r="J35" s="31" t="n">
        <x:v>30000</x:v>
      </x:c>
      <x:c r="K35" s="31"/>
      <x:c r="L35" s="31" t="n">
        <x:f>IF(OR(I35="",J35=""),"",J35/(I35/1000))</x:f>
        <x:v>150000</x:v>
      </x:c>
      <x:c r="M35" s="31" t="str">
        <x:f>IF(OR(I35="",K35=""),"",K35/(I35/1000))</x:f>
      </x:c>
      <x:c r="N35" s="31" t="n">
        <x:f>IF(M35&lt;&gt;"",M35,L35)</x:f>
        <x:v>150000</x:v>
      </x:c>
      <x:c r="O35" s="32" t="str">
        <x:v>常规公开标价</x:v>
      </x:c>
      <x:c r="P35" s="30" t="str">
        <x:v>在售</x:v>
      </x:c>
      <x:c r="Q35" s="28" t="str">
        <x:v>线上渠道/门店未固定</x:v>
      </x:c>
      <x:c r="R35" s="28" t="str">
        <x:v>2026-08-04 10:59 (越南时间)</x:v>
      </x:c>
      <x:c r="S35" s="28" t="str">
        <x:v>中</x:v>
      </x:c>
      <x:c r="T35" s="33" t="str">
        <x:v>https://vissanmart.com/gio-heo-rut-xuong-vietgap-200g-vsm.html</x:v>
      </x:c>
    </x:row>
    <x:row r="36" ht="31" customHeight="1">
      <x:c r="A36" s="30" t="n">
        <x:v>32</x:v>
      </x:c>
      <x:c r="B36" s="28" t="str">
        <x:v>VissanMart</x:v>
      </x:c>
      <x:c r="C36" s="28" t="str">
        <x:v>VISSAN</x:v>
      </x:c>
      <x:c r="D36" s="28" t="str">
        <x:v>VISSAN</x:v>
      </x:c>
      <x:c r="E36" s="28" t="str">
        <x:v>SƯỜN NON HEO VIETGAP 200G (VSM)</x:v>
      </x:c>
      <x:c r="F36" s="28" t="str">
        <x:v>200 g｜VietGAP</x:v>
      </x:c>
      <x:c r="G36" s="28" t="str">
        <x:v>小排</x:v>
      </x:c>
      <x:c r="H36" s="28" t="str">
        <x:v>鲜肉/未明示</x:v>
      </x:c>
      <x:c r="I36" s="31" t="n">
        <x:v>200</x:v>
      </x:c>
      <x:c r="J36" s="31" t="n">
        <x:v>58000</x:v>
      </x:c>
      <x:c r="K36" s="31"/>
      <x:c r="L36" s="31" t="n">
        <x:f>IF(OR(I36="",J36=""),"",J36/(I36/1000))</x:f>
        <x:v>290000</x:v>
      </x:c>
      <x:c r="M36" s="31" t="str">
        <x:f>IF(OR(I36="",K36=""),"",K36/(I36/1000))</x:f>
      </x:c>
      <x:c r="N36" s="31" t="n">
        <x:f>IF(M36&lt;&gt;"",M36,L36)</x:f>
        <x:v>290000</x:v>
      </x:c>
      <x:c r="O36" s="32" t="str">
        <x:v>常规公开标价</x:v>
      </x:c>
      <x:c r="P36" s="30" t="str">
        <x:v>在售</x:v>
      </x:c>
      <x:c r="Q36" s="28" t="str">
        <x:v>线上渠道/门店未固定</x:v>
      </x:c>
      <x:c r="R36" s="28" t="str">
        <x:v>2026-08-04 10:59 (越南时间)</x:v>
      </x:c>
      <x:c r="S36" s="28" t="str">
        <x:v>中</x:v>
      </x:c>
      <x:c r="T36" s="33" t="str">
        <x:v>https://vissanmart.com/su-n-non-heo-vietgap-200g-vsm.html</x:v>
      </x:c>
    </x:row>
    <x:row r="37" ht="31" customHeight="1">
      <x:c r="A37" s="30" t="n">
        <x:v>33</x:v>
      </x:c>
      <x:c r="B37" s="28" t="str">
        <x:v>VissanMart</x:v>
      </x:c>
      <x:c r="C37" s="28" t="str">
        <x:v>VISSAN</x:v>
      </x:c>
      <x:c r="D37" s="28" t="str">
        <x:v>VISSAN</x:v>
      </x:c>
      <x:c r="E37" s="28" t="str">
        <x:v>THĂN LƯNG HEO (HEO B) VIETGAP 200G (VSM)</x:v>
      </x:c>
      <x:c r="F37" s="28" t="str">
        <x:v>200 g｜VietGAP</x:v>
      </x:c>
      <x:c r="G37" s="28" t="str">
        <x:v>里脊</x:v>
      </x:c>
      <x:c r="H37" s="28" t="str">
        <x:v>鲜肉/未明示</x:v>
      </x:c>
      <x:c r="I37" s="31" t="n">
        <x:v>200</x:v>
      </x:c>
      <x:c r="J37" s="31" t="n">
        <x:v>35000</x:v>
      </x:c>
      <x:c r="K37" s="31"/>
      <x:c r="L37" s="31" t="n">
        <x:f>IF(OR(I37="",J37=""),"",J37/(I37/1000))</x:f>
        <x:v>175000</x:v>
      </x:c>
      <x:c r="M37" s="31" t="str">
        <x:f>IF(OR(I37="",K37=""),"",K37/(I37/1000))</x:f>
      </x:c>
      <x:c r="N37" s="31" t="n">
        <x:f>IF(M37&lt;&gt;"",M37,L37)</x:f>
        <x:v>175000</x:v>
      </x:c>
      <x:c r="O37" s="32" t="str">
        <x:v>常规公开标价</x:v>
      </x:c>
      <x:c r="P37" s="30" t="str">
        <x:v>在售</x:v>
      </x:c>
      <x:c r="Q37" s="28" t="str">
        <x:v>线上渠道/门店未固定</x:v>
      </x:c>
      <x:c r="R37" s="28" t="str">
        <x:v>2026-08-04 10:59 (越南时间)</x:v>
      </x:c>
      <x:c r="S37" s="28" t="str">
        <x:v>中</x:v>
      </x:c>
      <x:c r="T37" s="33" t="str">
        <x:v>https://vissanmart.com/than-lung-heo-heo-b-vietgap-200g-vsm.html</x:v>
      </x:c>
    </x:row>
    <x:row r="38" ht="31" customHeight="1">
      <x:c r="A38" s="30" t="n">
        <x:v>34</x:v>
      </x:c>
      <x:c r="B38" s="28" t="str">
        <x:v>VissanMart</x:v>
      </x:c>
      <x:c r="C38" s="28" t="str">
        <x:v>VISSAN</x:v>
      </x:c>
      <x:c r="D38" s="28" t="str">
        <x:v>VISSAN</x:v>
      </x:c>
      <x:c r="E38" s="28" t="str">
        <x:v>PHI LÊ HEO (HEO A) VIETGAP 200G (VSM)</x:v>
      </x:c>
      <x:c r="F38" s="28" t="str">
        <x:v>200 g｜VietGAP</x:v>
      </x:c>
      <x:c r="G38" s="28" t="str">
        <x:v>里脊</x:v>
      </x:c>
      <x:c r="H38" s="28" t="str">
        <x:v>鲜肉/未明示</x:v>
      </x:c>
      <x:c r="I38" s="31" t="n">
        <x:v>200</x:v>
      </x:c>
      <x:c r="J38" s="31" t="n">
        <x:v>34000</x:v>
      </x:c>
      <x:c r="K38" s="31"/>
      <x:c r="L38" s="31" t="n">
        <x:f>IF(OR(I38="",J38=""),"",J38/(I38/1000))</x:f>
        <x:v>170000</x:v>
      </x:c>
      <x:c r="M38" s="31" t="str">
        <x:f>IF(OR(I38="",K38=""),"",K38/(I38/1000))</x:f>
      </x:c>
      <x:c r="N38" s="31" t="n">
        <x:f>IF(M38&lt;&gt;"",M38,L38)</x:f>
        <x:v>170000</x:v>
      </x:c>
      <x:c r="O38" s="32" t="str">
        <x:v>常规公开标价</x:v>
      </x:c>
      <x:c r="P38" s="30" t="str">
        <x:v>在售</x:v>
      </x:c>
      <x:c r="Q38" s="28" t="str">
        <x:v>线上渠道/门店未固定</x:v>
      </x:c>
      <x:c r="R38" s="28" t="str">
        <x:v>2026-08-04 10:59 (越南时间)</x:v>
      </x:c>
      <x:c r="S38" s="28" t="str">
        <x:v>中</x:v>
      </x:c>
      <x:c r="T38" s="33" t="str">
        <x:v>https://vissanmart.com/phi-l-heo-heo-a-vietgap-200g-vsm.html</x:v>
      </x:c>
    </x:row>
    <x:row r="39" ht="31" customHeight="1">
      <x:c r="A39" s="30" t="n">
        <x:v>35</x:v>
      </x:c>
      <x:c r="B39" s="28" t="str">
        <x:v>VissanMart</x:v>
      </x:c>
      <x:c r="C39" s="28" t="str">
        <x:v>VISSAN</x:v>
      </x:c>
      <x:c r="D39" s="28" t="str">
        <x:v>VISSAN</x:v>
      </x:c>
      <x:c r="E39" s="28" t="str">
        <x:v>BA RỌI HEO KHÔNG DA VIETGAP 200G (VSM)</x:v>
      </x:c>
      <x:c r="F39" s="28" t="str">
        <x:v>200 g｜VietGAP</x:v>
      </x:c>
      <x:c r="G39" s="28" t="str">
        <x:v>五花肉</x:v>
      </x:c>
      <x:c r="H39" s="28" t="str">
        <x:v>鲜肉/未明示</x:v>
      </x:c>
      <x:c r="I39" s="31" t="n">
        <x:v>200</x:v>
      </x:c>
      <x:c r="J39" s="31" t="n">
        <x:v>44000</x:v>
      </x:c>
      <x:c r="K39" s="31"/>
      <x:c r="L39" s="31" t="n">
        <x:f>IF(OR(I39="",J39=""),"",J39/(I39/1000))</x:f>
        <x:v>220000</x:v>
      </x:c>
      <x:c r="M39" s="31" t="str">
        <x:f>IF(OR(I39="",K39=""),"",K39/(I39/1000))</x:f>
      </x:c>
      <x:c r="N39" s="31" t="n">
        <x:f>IF(M39&lt;&gt;"",M39,L39)</x:f>
        <x:v>220000</x:v>
      </x:c>
      <x:c r="O39" s="32" t="str">
        <x:v>常规公开标价</x:v>
      </x:c>
      <x:c r="P39" s="30" t="str">
        <x:v>在售</x:v>
      </x:c>
      <x:c r="Q39" s="28" t="str">
        <x:v>线上渠道/门店未固定</x:v>
      </x:c>
      <x:c r="R39" s="28" t="str">
        <x:v>2026-08-04 10:59 (越南时间)</x:v>
      </x:c>
      <x:c r="S39" s="28" t="str">
        <x:v>中</x:v>
      </x:c>
      <x:c r="T39" s="33" t="str">
        <x:v>https://vissanmart.com/ba-r-i-heo-khong-da-vietgap-200g-vsm.html</x:v>
      </x:c>
    </x:row>
    <x:row r="40" ht="31" customHeight="1">
      <x:c r="A40" s="30" t="n">
        <x:v>36</x:v>
      </x:c>
      <x:c r="B40" s="28" t="str">
        <x:v>VissanMart</x:v>
      </x:c>
      <x:c r="C40" s="28" t="str">
        <x:v>VISSAN</x:v>
      </x:c>
      <x:c r="D40" s="28" t="str">
        <x:v>VISSAN</x:v>
      </x:c>
      <x:c r="E40" s="28" t="str">
        <x:v>BA RỌI HEO RÚT SƯỜN VIETGAP 200G (VSM)</x:v>
      </x:c>
      <x:c r="F40" s="28" t="str">
        <x:v>200 g｜VietGAP</x:v>
      </x:c>
      <x:c r="G40" s="28" t="str">
        <x:v>五花肉</x:v>
      </x:c>
      <x:c r="H40" s="28" t="str">
        <x:v>鲜肉/未明示</x:v>
      </x:c>
      <x:c r="I40" s="31" t="n">
        <x:v>200</x:v>
      </x:c>
      <x:c r="J40" s="31" t="n">
        <x:v>55000</x:v>
      </x:c>
      <x:c r="K40" s="31"/>
      <x:c r="L40" s="31" t="n">
        <x:f>IF(OR(I40="",J40=""),"",J40/(I40/1000))</x:f>
        <x:v>275000</x:v>
      </x:c>
      <x:c r="M40" s="31" t="str">
        <x:f>IF(OR(I40="",K40=""),"",K40/(I40/1000))</x:f>
      </x:c>
      <x:c r="N40" s="31" t="n">
        <x:f>IF(M40&lt;&gt;"",M40,L40)</x:f>
        <x:v>275000</x:v>
      </x:c>
      <x:c r="O40" s="32" t="str">
        <x:v>常规公开标价</x:v>
      </x:c>
      <x:c r="P40" s="30" t="str">
        <x:v>在售</x:v>
      </x:c>
      <x:c r="Q40" s="28" t="str">
        <x:v>线上渠道/门店未固定</x:v>
      </x:c>
      <x:c r="R40" s="28" t="str">
        <x:v>2026-08-04 10:59 (越南时间)</x:v>
      </x:c>
      <x:c r="S40" s="28" t="str">
        <x:v>中</x:v>
      </x:c>
      <x:c r="T40" s="33" t="str">
        <x:v>https://vissanmart.com/ba-r-i-heo-rut-su-n-vietgap-200g-vsm.html</x:v>
      </x:c>
    </x:row>
    <x:row r="41" ht="31" customHeight="1">
      <x:c r="A41" s="30" t="n">
        <x:v>37</x:v>
      </x:c>
      <x:c r="B41" s="28" t="str">
        <x:v>VissanMart</x:v>
      </x:c>
      <x:c r="C41" s="28" t="str">
        <x:v>VISSAN</x:v>
      </x:c>
      <x:c r="D41" s="28" t="str">
        <x:v>VISSAN</x:v>
      </x:c>
      <x:c r="E41" s="28" t="str">
        <x:v>BA RỌI HEO VIETGAP 200G (VSM)</x:v>
      </x:c>
      <x:c r="F41" s="28" t="str">
        <x:v>200 g｜VietGAP</x:v>
      </x:c>
      <x:c r="G41" s="28" t="str">
        <x:v>五花肉</x:v>
      </x:c>
      <x:c r="H41" s="28" t="str">
        <x:v>鲜肉/未明示</x:v>
      </x:c>
      <x:c r="I41" s="31" t="n">
        <x:v>200</x:v>
      </x:c>
      <x:c r="J41" s="31" t="n">
        <x:v>42000</x:v>
      </x:c>
      <x:c r="K41" s="31"/>
      <x:c r="L41" s="31" t="n">
        <x:f>IF(OR(I41="",J41=""),"",J41/(I41/1000))</x:f>
        <x:v>210000</x:v>
      </x:c>
      <x:c r="M41" s="31" t="str">
        <x:f>IF(OR(I41="",K41=""),"",K41/(I41/1000))</x:f>
      </x:c>
      <x:c r="N41" s="31" t="n">
        <x:f>IF(M41&lt;&gt;"",M41,L41)</x:f>
        <x:v>210000</x:v>
      </x:c>
      <x:c r="O41" s="32" t="str">
        <x:v>常规公开标价</x:v>
      </x:c>
      <x:c r="P41" s="30" t="str">
        <x:v>在售</x:v>
      </x:c>
      <x:c r="Q41" s="28" t="str">
        <x:v>线上渠道/门店未固定</x:v>
      </x:c>
      <x:c r="R41" s="28" t="str">
        <x:v>2026-08-04 10:59 (越南时间)</x:v>
      </x:c>
      <x:c r="S41" s="28" t="str">
        <x:v>中</x:v>
      </x:c>
      <x:c r="T41" s="33" t="str">
        <x:v>https://vissanmart.com/ba-r-i-heo-vietgap-200g-vsm.html</x:v>
      </x:c>
    </x:row>
    <x:row r="42" ht="31" customHeight="1">
      <x:c r="A42" s="30" t="n">
        <x:v>38</x:v>
      </x:c>
      <x:c r="B42" s="28" t="str">
        <x:v>VissanMart</x:v>
      </x:c>
      <x:c r="C42" s="28" t="str">
        <x:v>VISSAN</x:v>
      </x:c>
      <x:c r="D42" s="28" t="str">
        <x:v>VISSAN</x:v>
      </x:c>
      <x:c r="E42" s="28" t="str">
        <x:v>THỊT ĐÙI HEO VIETGAP 200G (VSM)</x:v>
      </x:c>
      <x:c r="F42" s="28" t="str">
        <x:v>200 g｜VietGAP</x:v>
      </x:c>
      <x:c r="G42" s="28" t="str">
        <x:v>后腿肉</x:v>
      </x:c>
      <x:c r="H42" s="28" t="str">
        <x:v>鲜肉/未明示</x:v>
      </x:c>
      <x:c r="I42" s="31" t="n">
        <x:v>200</x:v>
      </x:c>
      <x:c r="J42" s="31" t="n">
        <x:v>30000</x:v>
      </x:c>
      <x:c r="K42" s="31"/>
      <x:c r="L42" s="31" t="n">
        <x:f>IF(OR(I42="",J42=""),"",J42/(I42/1000))</x:f>
        <x:v>150000</x:v>
      </x:c>
      <x:c r="M42" s="31" t="str">
        <x:f>IF(OR(I42="",K42=""),"",K42/(I42/1000))</x:f>
      </x:c>
      <x:c r="N42" s="31" t="n">
        <x:f>IF(M42&lt;&gt;"",M42,L42)</x:f>
        <x:v>150000</x:v>
      </x:c>
      <x:c r="O42" s="32" t="str">
        <x:v>常规公开标价</x:v>
      </x:c>
      <x:c r="P42" s="30" t="str">
        <x:v>在售</x:v>
      </x:c>
      <x:c r="Q42" s="28" t="str">
        <x:v>线上渠道/门店未固定</x:v>
      </x:c>
      <x:c r="R42" s="28" t="str">
        <x:v>2026-08-04 10:59 (越南时间)</x:v>
      </x:c>
      <x:c r="S42" s="28" t="str">
        <x:v>中</x:v>
      </x:c>
      <x:c r="T42" s="33" t="str">
        <x:v>https://vissanmart.com/th-t-dui-heo-vietgap-200g-vsm.html</x:v>
      </x:c>
    </x:row>
    <x:row r="43" ht="31" customHeight="1">
      <x:c r="A43" s="30" t="n">
        <x:v>39</x:v>
      </x:c>
      <x:c r="B43" s="28" t="str">
        <x:v>VissanMart</x:v>
      </x:c>
      <x:c r="C43" s="28" t="str">
        <x:v>VISSAN</x:v>
      </x:c>
      <x:c r="D43" s="28" t="str">
        <x:v>VISSAN</x:v>
      </x:c>
      <x:c r="E43" s="28" t="str">
        <x:v>XƯƠNG ĐUÔI HEO VIETGAP 200G (VSM)</x:v>
      </x:c>
      <x:c r="F43" s="28" t="str">
        <x:v>200 g｜VietGAP</x:v>
      </x:c>
      <x:c r="G43" s="28" t="str">
        <x:v>尾骨</x:v>
      </x:c>
      <x:c r="H43" s="28" t="str">
        <x:v>鲜肉/未明示</x:v>
      </x:c>
      <x:c r="I43" s="31" t="n">
        <x:v>200</x:v>
      </x:c>
      <x:c r="J43" s="31" t="n">
        <x:v>21000</x:v>
      </x:c>
      <x:c r="K43" s="31"/>
      <x:c r="L43" s="31" t="n">
        <x:f>IF(OR(I43="",J43=""),"",J43/(I43/1000))</x:f>
        <x:v>105000</x:v>
      </x:c>
      <x:c r="M43" s="31" t="str">
        <x:f>IF(OR(I43="",K43=""),"",K43/(I43/1000))</x:f>
      </x:c>
      <x:c r="N43" s="31" t="n">
        <x:f>IF(M43&lt;&gt;"",M43,L43)</x:f>
        <x:v>105000</x:v>
      </x:c>
      <x:c r="O43" s="32" t="str">
        <x:v>常规公开标价</x:v>
      </x:c>
      <x:c r="P43" s="30" t="str">
        <x:v>在售</x:v>
      </x:c>
      <x:c r="Q43" s="28" t="str">
        <x:v>线上渠道/门店未固定</x:v>
      </x:c>
      <x:c r="R43" s="28" t="str">
        <x:v>2026-08-04 10:59 (越南时间)</x:v>
      </x:c>
      <x:c r="S43" s="28" t="str">
        <x:v>中</x:v>
      </x:c>
      <x:c r="T43" s="33" t="str">
        <x:v>https://vissanmart.com/xuong-duoi-heo-vietgap-200g-vsm.html</x:v>
      </x:c>
    </x:row>
    <x:row r="44" ht="31" customHeight="1">
      <x:c r="A44" s="30" t="n">
        <x:v>40</x:v>
      </x:c>
      <x:c r="B44" s="28" t="str">
        <x:v>VissanMart</x:v>
      </x:c>
      <x:c r="C44" s="28" t="str">
        <x:v>VISSAN</x:v>
      </x:c>
      <x:c r="D44" s="28" t="str">
        <x:v>VISSAN</x:v>
      </x:c>
      <x:c r="E44" s="28" t="str">
        <x:v>BẮP GIÒ HEO VIETGAP 200G (VSM)</x:v>
      </x:c>
      <x:c r="F44" s="28" t="str">
        <x:v>200 g｜VietGAP</x:v>
      </x:c>
      <x:c r="G44" s="28" t="str">
        <x:v>猪蹄/肘子</x:v>
      </x:c>
      <x:c r="H44" s="28" t="str">
        <x:v>鲜肉/未明示</x:v>
      </x:c>
      <x:c r="I44" s="31" t="n">
        <x:v>200</x:v>
      </x:c>
      <x:c r="J44" s="31" t="n">
        <x:v>24600</x:v>
      </x:c>
      <x:c r="K44" s="31"/>
      <x:c r="L44" s="31" t="n">
        <x:f>IF(OR(I44="",J44=""),"",J44/(I44/1000))</x:f>
        <x:v>123000</x:v>
      </x:c>
      <x:c r="M44" s="31" t="str">
        <x:f>IF(OR(I44="",K44=""),"",K44/(I44/1000))</x:f>
      </x:c>
      <x:c r="N44" s="31" t="n">
        <x:f>IF(M44&lt;&gt;"",M44,L44)</x:f>
        <x:v>123000</x:v>
      </x:c>
      <x:c r="O44" s="32" t="str">
        <x:v>常规公开标价</x:v>
      </x:c>
      <x:c r="P44" s="30" t="str">
        <x:v>在售</x:v>
      </x:c>
      <x:c r="Q44" s="28" t="str">
        <x:v>线上渠道/门店未固定</x:v>
      </x:c>
      <x:c r="R44" s="28" t="str">
        <x:v>2026-08-04 10:59 (越南时间)</x:v>
      </x:c>
      <x:c r="S44" s="28" t="str">
        <x:v>中</x:v>
      </x:c>
      <x:c r="T44" s="33" t="str">
        <x:v>https://vissanmart.com/b-p-gio-heo-vietgap-200g-vsm.html</x:v>
      </x:c>
    </x:row>
    <x:row r="45" ht="31" customHeight="1">
      <x:c r="A45" s="30" t="n">
        <x:v>41</x:v>
      </x:c>
      <x:c r="B45" s="28" t="str">
        <x:v>VissanMart</x:v>
      </x:c>
      <x:c r="C45" s="28" t="str">
        <x:v>VISSAN</x:v>
      </x:c>
      <x:c r="D45" s="28" t="str">
        <x:v>VISSAN</x:v>
      </x:c>
      <x:c r="E45" s="28" t="str">
        <x:v>CỐT LẾT HEO VIETGAP 200G (VSM)</x:v>
      </x:c>
      <x:c r="F45" s="28" t="str">
        <x:v>200 g｜VietGAP</x:v>
      </x:c>
      <x:c r="G45" s="28" t="str">
        <x:v>猪排</x:v>
      </x:c>
      <x:c r="H45" s="28" t="str">
        <x:v>鲜肉/未明示</x:v>
      </x:c>
      <x:c r="I45" s="31" t="n">
        <x:v>200</x:v>
      </x:c>
      <x:c r="J45" s="31" t="n">
        <x:v>30000</x:v>
      </x:c>
      <x:c r="K45" s="31"/>
      <x:c r="L45" s="31" t="n">
        <x:f>IF(OR(I45="",J45=""),"",J45/(I45/1000))</x:f>
        <x:v>150000</x:v>
      </x:c>
      <x:c r="M45" s="31" t="str">
        <x:f>IF(OR(I45="",K45=""),"",K45/(I45/1000))</x:f>
      </x:c>
      <x:c r="N45" s="31" t="n">
        <x:f>IF(M45&lt;&gt;"",M45,L45)</x:f>
        <x:v>150000</x:v>
      </x:c>
      <x:c r="O45" s="32" t="str">
        <x:v>常规公开标价</x:v>
      </x:c>
      <x:c r="P45" s="30" t="str">
        <x:v>在售</x:v>
      </x:c>
      <x:c r="Q45" s="28" t="str">
        <x:v>线上渠道/门店未固定</x:v>
      </x:c>
      <x:c r="R45" s="28" t="str">
        <x:v>2026-08-04 10:59 (越南时间)</x:v>
      </x:c>
      <x:c r="S45" s="28" t="str">
        <x:v>中</x:v>
      </x:c>
      <x:c r="T45" s="33" t="str">
        <x:v>https://vissanmart.com/c-t-l-t-heo-vietgap-200g-vsm.html</x:v>
      </x:c>
    </x:row>
    <x:row r="46" ht="31" customHeight="1">
      <x:c r="A46" s="30" t="n">
        <x:v>42</x:v>
      </x:c>
      <x:c r="B46" s="28" t="str">
        <x:v>VissanMart</x:v>
      </x:c>
      <x:c r="C46" s="28" t="str">
        <x:v>VISSAN</x:v>
      </x:c>
      <x:c r="D46" s="28" t="str">
        <x:v>VISSAN</x:v>
      </x:c>
      <x:c r="E46" s="28" t="str">
        <x:v>NẠC VAI HEO VIETGAP 200G (VSM)</x:v>
      </x:c>
      <x:c r="F46" s="28" t="str">
        <x:v>200 g｜VietGAP</x:v>
      </x:c>
      <x:c r="G46" s="28" t="str">
        <x:v>肩肉/梅花肉</x:v>
      </x:c>
      <x:c r="H46" s="28" t="str">
        <x:v>鲜肉/未明示</x:v>
      </x:c>
      <x:c r="I46" s="31" t="n">
        <x:v>200</x:v>
      </x:c>
      <x:c r="J46" s="31" t="n">
        <x:v>33000</x:v>
      </x:c>
      <x:c r="K46" s="31"/>
      <x:c r="L46" s="31" t="n">
        <x:f>IF(OR(I46="",J46=""),"",J46/(I46/1000))</x:f>
        <x:v>165000</x:v>
      </x:c>
      <x:c r="M46" s="31" t="str">
        <x:f>IF(OR(I46="",K46=""),"",K46/(I46/1000))</x:f>
      </x:c>
      <x:c r="N46" s="31" t="n">
        <x:f>IF(M46&lt;&gt;"",M46,L46)</x:f>
        <x:v>165000</x:v>
      </x:c>
      <x:c r="O46" s="32" t="str">
        <x:v>常规公开标价</x:v>
      </x:c>
      <x:c r="P46" s="30" t="str">
        <x:v>在售</x:v>
      </x:c>
      <x:c r="Q46" s="28" t="str">
        <x:v>线上渠道/门店未固定</x:v>
      </x:c>
      <x:c r="R46" s="28" t="str">
        <x:v>2026-08-04 10:59 (越南时间)</x:v>
      </x:c>
      <x:c r="S46" s="28" t="str">
        <x:v>中</x:v>
      </x:c>
      <x:c r="T46" s="33" t="str">
        <x:v>https://vissanmart.com/n-c-vai-heo-vietgap-200g-vsm.html</x:v>
      </x:c>
    </x:row>
    <x:row r="47" ht="31" customHeight="1">
      <x:c r="A47" s="30" t="n">
        <x:v>43</x:v>
      </x:c>
      <x:c r="B47" s="28" t="str">
        <x:v>Co.op Online</x:v>
      </x:c>
      <x:c r="C47" s="28" t="str">
        <x:v>Saigon Co.op</x:v>
      </x:c>
      <x:c r="D47" s="28" t="str">
        <x:v>Meat Deli</x:v>
      </x:c>
      <x:c r="E47" s="28" t="str">
        <x:v>Xương cục heo chuẩn ngon (S) kg</x:v>
      </x:c>
      <x:c r="F47" s="28" t="str">
        <x:v>1 kg｜零售包装/网页标注</x:v>
      </x:c>
      <x:c r="G47" s="28" t="str">
        <x:v>块骨</x:v>
      </x:c>
      <x:c r="H47" s="28" t="str">
        <x:v>鲜肉/未明示</x:v>
      </x:c>
      <x:c r="I47" s="31" t="n">
        <x:v>1000</x:v>
      </x:c>
      <x:c r="J47" s="31" t="n">
        <x:v>123900</x:v>
      </x:c>
      <x:c r="K47" s="31"/>
      <x:c r="L47" s="31" t="n">
        <x:f>IF(OR(I47="",J47=""),"",J47/(I47/1000))</x:f>
        <x:v>123900</x:v>
      </x:c>
      <x:c r="M47" s="31" t="str">
        <x:f>IF(OR(I47="",K47=""),"",K47/(I47/1000))</x:f>
      </x:c>
      <x:c r="N47" s="31" t="n">
        <x:f>IF(M47&lt;&gt;"",M47,L47)</x:f>
        <x:v>123900</x:v>
      </x:c>
      <x:c r="O47" s="32" t="str">
        <x:v>常规公开标价</x:v>
      </x:c>
      <x:c r="P47" s="30" t="str">
        <x:v>缺货</x:v>
      </x:c>
      <x:c r="Q47" s="28" t="str">
        <x:v>线上渠道/门店未固定</x:v>
      </x:c>
      <x:c r="R47" s="28" t="str">
        <x:v>2026-08-04 10:59 (越南时间)</x:v>
      </x:c>
      <x:c r="S47" s="28" t="str">
        <x:v>中</x:v>
      </x:c>
      <x:c r="T47" s="33" t="str">
        <x:v>https://cooponline.vn/xuong-cuc-heo-meat-deli--s250108557</x:v>
      </x:c>
    </x:row>
    <x:row r="48" ht="31" customHeight="1">
      <x:c r="A48" s="30" t="n">
        <x:v>44</x:v>
      </x:c>
      <x:c r="B48" s="28" t="str">
        <x:v>Co.op Online</x:v>
      </x:c>
      <x:c r="C48" s="28" t="str">
        <x:v>Saigon Co.op</x:v>
      </x:c>
      <x:c r="D48" s="28" t="str">
        <x:v>页面未披露品牌</x:v>
      </x:c>
      <x:c r="E48" s="28" t="str">
        <x:v>Ba rọi heo kg-TD</x:v>
      </x:c>
      <x:c r="F48" s="28" t="str">
        <x:v>1 kg｜零售包装/网页标注</x:v>
      </x:c>
      <x:c r="G48" s="28" t="str">
        <x:v>五花肉</x:v>
      </x:c>
      <x:c r="H48" s="28" t="str">
        <x:v>鲜肉/未明示</x:v>
      </x:c>
      <x:c r="I48" s="31" t="n">
        <x:v>1000</x:v>
      </x:c>
      <x:c r="J48" s="31" t="n">
        <x:v>156000</x:v>
      </x:c>
      <x:c r="K48" s="31"/>
      <x:c r="L48" s="31" t="n">
        <x:f>IF(OR(I48="",J48=""),"",J48/(I48/1000))</x:f>
        <x:v>156000</x:v>
      </x:c>
      <x:c r="M48" s="31" t="str">
        <x:f>IF(OR(I48="",K48=""),"",K48/(I48/1000))</x:f>
      </x:c>
      <x:c r="N48" s="31" t="n">
        <x:f>IF(M48&lt;&gt;"",M48,L48)</x:f>
        <x:v>156000</x:v>
      </x:c>
      <x:c r="O48" s="32" t="str">
        <x:v>常规公开标价</x:v>
      </x:c>
      <x:c r="P48" s="30" t="str">
        <x:v>缺货</x:v>
      </x:c>
      <x:c r="Q48" s="28" t="str">
        <x:v>线上渠道/门店未固定</x:v>
      </x:c>
      <x:c r="R48" s="28" t="str">
        <x:v>2026-08-04 10:59 (越南时间)</x:v>
      </x:c>
      <x:c r="S48" s="28" t="str">
        <x:v>中</x:v>
      </x:c>
      <x:c r="T48" s="33" t="str">
        <x:v>https://cooponline.vn/ba-roi-heo-kg-td--s250515461</x:v>
      </x:c>
    </x:row>
    <x:row r="49" ht="31" customHeight="1">
      <x:c r="A49" s="30" t="n">
        <x:v>45</x:v>
      </x:c>
      <x:c r="B49" s="28" t="str">
        <x:v>Co.op Online</x:v>
      </x:c>
      <x:c r="C49" s="28" t="str">
        <x:v>Saigon Co.op</x:v>
      </x:c>
      <x:c r="D49" s="28" t="str">
        <x:v>Meat Deli</x:v>
      </x:c>
      <x:c r="E49" s="28" t="str">
        <x:v>Xương ống heo chuẩn ngon (S) kg</x:v>
      </x:c>
      <x:c r="F49" s="28" t="str">
        <x:v>1 kg｜零售包装/网页标注</x:v>
      </x:c>
      <x:c r="G49" s="28" t="str">
        <x:v>筒骨</x:v>
      </x:c>
      <x:c r="H49" s="28" t="str">
        <x:v>鲜肉/未明示</x:v>
      </x:c>
      <x:c r="I49" s="31" t="n">
        <x:v>1000</x:v>
      </x:c>
      <x:c r="J49" s="31" t="n">
        <x:v>127900</x:v>
      </x:c>
      <x:c r="K49" s="31"/>
      <x:c r="L49" s="31" t="n">
        <x:f>IF(OR(I49="",J49=""),"",J49/(I49/1000))</x:f>
        <x:v>127900</x:v>
      </x:c>
      <x:c r="M49" s="31" t="str">
        <x:f>IF(OR(I49="",K49=""),"",K49/(I49/1000))</x:f>
      </x:c>
      <x:c r="N49" s="31" t="n">
        <x:f>IF(M49&lt;&gt;"",M49,L49)</x:f>
        <x:v>127900</x:v>
      </x:c>
      <x:c r="O49" s="32" t="str">
        <x:v>常规公开标价</x:v>
      </x:c>
      <x:c r="P49" s="30" t="str">
        <x:v>缺货</x:v>
      </x:c>
      <x:c r="Q49" s="28" t="str">
        <x:v>线上渠道/门店未固定</x:v>
      </x:c>
      <x:c r="R49" s="28" t="str">
        <x:v>2026-08-04 10:59 (越南时间)</x:v>
      </x:c>
      <x:c r="S49" s="28" t="str">
        <x:v>中</x:v>
      </x:c>
      <x:c r="T49" s="33" t="str">
        <x:v>https://cooponline.vn/xuong-ong-heo-meat-deli--s250515640</x:v>
      </x:c>
    </x:row>
    <x:row r="50" ht="31" customHeight="1">
      <x:c r="A50" s="30" t="n">
        <x:v>46</x:v>
      </x:c>
      <x:c r="B50" s="28" t="str">
        <x:v>Co.op Online</x:v>
      </x:c>
      <x:c r="C50" s="28" t="str">
        <x:v>Saigon Co.op</x:v>
      </x:c>
      <x:c r="D50" s="28" t="str">
        <x:v>VISSAN - TPTS</x:v>
      </x:c>
      <x:c r="E50" s="28" t="str">
        <x:v>Xương duôi heo kg-HM</x:v>
      </x:c>
      <x:c r="F50" s="28" t="str">
        <x:v>1 kg｜零售包装/网页标注</x:v>
      </x:c>
      <x:c r="G50" s="28" t="str">
        <x:v>其他猪肉部位</x:v>
      </x:c>
      <x:c r="H50" s="28" t="str">
        <x:v>鲜肉/未明示</x:v>
      </x:c>
      <x:c r="I50" s="31" t="n">
        <x:v>1000</x:v>
      </x:c>
      <x:c r="J50" s="31" t="n">
        <x:v>106000</x:v>
      </x:c>
      <x:c r="K50" s="31"/>
      <x:c r="L50" s="31" t="n">
        <x:f>IF(OR(I50="",J50=""),"",J50/(I50/1000))</x:f>
        <x:v>106000</x:v>
      </x:c>
      <x:c r="M50" s="31" t="str">
        <x:f>IF(OR(I50="",K50=""),"",K50/(I50/1000))</x:f>
      </x:c>
      <x:c r="N50" s="31" t="n">
        <x:f>IF(M50&lt;&gt;"",M50,L50)</x:f>
        <x:v>106000</x:v>
      </x:c>
      <x:c r="O50" s="32" t="str">
        <x:v>常规公开标价</x:v>
      </x:c>
      <x:c r="P50" s="30" t="str">
        <x:v>缺货</x:v>
      </x:c>
      <x:c r="Q50" s="28" t="str">
        <x:v>线上渠道/门店未固定</x:v>
      </x:c>
      <x:c r="R50" s="28" t="str">
        <x:v>2026-08-04 10:59 (越南时间)</x:v>
      </x:c>
      <x:c r="S50" s="28" t="str">
        <x:v>中</x:v>
      </x:c>
      <x:c r="T50" s="33" t="str">
        <x:v>https://cooponline.vn/xuong-duoi-heo-1kg--s250515648</x:v>
      </x:c>
    </x:row>
    <x:row r="51" ht="31" customHeight="1">
      <x:c r="A51" s="30" t="n">
        <x:v>47</x:v>
      </x:c>
      <x:c r="B51" s="28" t="str">
        <x:v>Co.op Online</x:v>
      </x:c>
      <x:c r="C51" s="28" t="str">
        <x:v>Saigon Co.op</x:v>
      </x:c>
      <x:c r="D51" s="28" t="str">
        <x:v>VISSAN - TPTS</x:v>
      </x:c>
      <x:c r="E51" s="28" t="str">
        <x:v>Xương ống heo kg</x:v>
      </x:c>
      <x:c r="F51" s="28" t="str">
        <x:v>1 kg｜零售包装/网页标注</x:v>
      </x:c>
      <x:c r="G51" s="28" t="str">
        <x:v>筒骨</x:v>
      </x:c>
      <x:c r="H51" s="28" t="str">
        <x:v>鲜肉/未明示</x:v>
      </x:c>
      <x:c r="I51" s="31" t="n">
        <x:v>1000</x:v>
      </x:c>
      <x:c r="J51" s="31" t="n">
        <x:v>95000</x:v>
      </x:c>
      <x:c r="K51" s="31"/>
      <x:c r="L51" s="31" t="n">
        <x:f>IF(OR(I51="",J51=""),"",J51/(I51/1000))</x:f>
        <x:v>95000</x:v>
      </x:c>
      <x:c r="M51" s="31" t="str">
        <x:f>IF(OR(I51="",K51=""),"",K51/(I51/1000))</x:f>
      </x:c>
      <x:c r="N51" s="31" t="n">
        <x:f>IF(M51&lt;&gt;"",M51,L51)</x:f>
        <x:v>95000</x:v>
      </x:c>
      <x:c r="O51" s="32" t="str">
        <x:v>常规公开标价</x:v>
      </x:c>
      <x:c r="P51" s="30" t="str">
        <x:v>缺货</x:v>
      </x:c>
      <x:c r="Q51" s="28" t="str">
        <x:v>线上渠道/门店未固定</x:v>
      </x:c>
      <x:c r="R51" s="28" t="str">
        <x:v>2026-08-04 10:59 (越南时间)</x:v>
      </x:c>
      <x:c r="S51" s="28" t="str">
        <x:v>中</x:v>
      </x:c>
      <x:c r="T51" s="33" t="str">
        <x:v>https://cooponline.vn/xuong-ong-heo-kg--s250515757</x:v>
      </x:c>
    </x:row>
    <x:row r="52" ht="31" customHeight="1">
      <x:c r="A52" s="30" t="n">
        <x:v>48</x:v>
      </x:c>
      <x:c r="B52" s="28" t="str">
        <x:v>Co.op Online</x:v>
      </x:c>
      <x:c r="C52" s="28" t="str">
        <x:v>Saigon Co.op</x:v>
      </x:c>
      <x:c r="D52" s="28" t="str">
        <x:v>Anh Hoàng Thy</x:v>
      </x:c>
      <x:c r="E52" s="28" t="str">
        <x:v>Thịt nọng heo kg-AHT990</x:v>
      </x:c>
      <x:c r="F52" s="28" t="str">
        <x:v>1 kg｜零售包装/网页标注</x:v>
      </x:c>
      <x:c r="G52" s="28" t="str">
        <x:v>猪颈肉</x:v>
      </x:c>
      <x:c r="H52" s="28" t="str">
        <x:v>鲜肉/未明示</x:v>
      </x:c>
      <x:c r="I52" s="31" t="n">
        <x:v>1000</x:v>
      </x:c>
      <x:c r="J52" s="31" t="n">
        <x:v>88000</x:v>
      </x:c>
      <x:c r="K52" s="31"/>
      <x:c r="L52" s="31" t="n">
        <x:f>IF(OR(I52="",J52=""),"",J52/(I52/1000))</x:f>
        <x:v>88000</x:v>
      </x:c>
      <x:c r="M52" s="31" t="str">
        <x:f>IF(OR(I52="",K52=""),"",K52/(I52/1000))</x:f>
      </x:c>
      <x:c r="N52" s="31" t="n">
        <x:f>IF(M52&lt;&gt;"",M52,L52)</x:f>
        <x:v>88000</x:v>
      </x:c>
      <x:c r="O52" s="32" t="str">
        <x:v>常规公开标价</x:v>
      </x:c>
      <x:c r="P52" s="30" t="str">
        <x:v>缺货</x:v>
      </x:c>
      <x:c r="Q52" s="28" t="str">
        <x:v>线上渠道/门店未固定</x:v>
      </x:c>
      <x:c r="R52" s="28" t="str">
        <x:v>2026-08-04 10:59 (越南时间)</x:v>
      </x:c>
      <x:c r="S52" s="28" t="str">
        <x:v>中</x:v>
      </x:c>
      <x:c r="T52" s="33" t="str">
        <x:v>https://cooponline.vn/thit-nong-heo-kg-aht990--s250607894</x:v>
      </x:c>
    </x:row>
    <x:row r="53" ht="31" customHeight="1">
      <x:c r="A53" s="30" t="n">
        <x:v>49</x:v>
      </x:c>
      <x:c r="B53" s="28" t="str">
        <x:v>Co.op Online</x:v>
      </x:c>
      <x:c r="C53" s="28" t="str">
        <x:v>Saigon Co.op</x:v>
      </x:c>
      <x:c r="D53" s="28" t="str">
        <x:v>页面未披露品牌</x:v>
      </x:c>
      <x:c r="E53" s="28" t="str">
        <x:v>Tim heo kg-TD</x:v>
      </x:c>
      <x:c r="F53" s="28" t="str">
        <x:v>1 kg｜零售包装/网页标注</x:v>
      </x:c>
      <x:c r="G53" s="28" t="str">
        <x:v>猪心</x:v>
      </x:c>
      <x:c r="H53" s="28" t="str">
        <x:v>鲜肉/未明示</x:v>
      </x:c>
      <x:c r="I53" s="31" t="n">
        <x:v>1000</x:v>
      </x:c>
      <x:c r="J53" s="31" t="n">
        <x:v>104000</x:v>
      </x:c>
      <x:c r="K53" s="31"/>
      <x:c r="L53" s="31" t="n">
        <x:f>IF(OR(I53="",J53=""),"",J53/(I53/1000))</x:f>
        <x:v>104000</x:v>
      </x:c>
      <x:c r="M53" s="31" t="str">
        <x:f>IF(OR(I53="",K53=""),"",K53/(I53/1000))</x:f>
      </x:c>
      <x:c r="N53" s="31" t="n">
        <x:f>IF(M53&lt;&gt;"",M53,L53)</x:f>
        <x:v>104000</x:v>
      </x:c>
      <x:c r="O53" s="32" t="str">
        <x:v>常规公开标价</x:v>
      </x:c>
      <x:c r="P53" s="30" t="str">
        <x:v>缺货</x:v>
      </x:c>
      <x:c r="Q53" s="28" t="str">
        <x:v>线上渠道/门店未固定</x:v>
      </x:c>
      <x:c r="R53" s="28" t="str">
        <x:v>2026-08-04 10:59 (越南时间)</x:v>
      </x:c>
      <x:c r="S53" s="28" t="str">
        <x:v>中</x:v>
      </x:c>
      <x:c r="T53" s="33" t="str">
        <x:v>https://cooponline.vn/tim-heo-kg-td--s250515552</x:v>
      </x:c>
    </x:row>
    <x:row r="54" ht="31" customHeight="1">
      <x:c r="A54" s="30" t="n">
        <x:v>50</x:v>
      </x:c>
      <x:c r="B54" s="28" t="str">
        <x:v>Co.op Online</x:v>
      </x:c>
      <x:c r="C54" s="28" t="str">
        <x:v>Saigon Co.op</x:v>
      </x:c>
      <x:c r="D54" s="28" t="str">
        <x:v>Meat Deli</x:v>
      </x:c>
      <x:c r="E54" s="28" t="str">
        <x:v>Tim heo chuẩn ngon (S) kg – MDL</x:v>
      </x:c>
      <x:c r="F54" s="28" t="str">
        <x:v>1 kg｜零售包装/网页标注</x:v>
      </x:c>
      <x:c r="G54" s="28" t="str">
        <x:v>猪心</x:v>
      </x:c>
      <x:c r="H54" s="28" t="str">
        <x:v>鲜肉/未明示</x:v>
      </x:c>
      <x:c r="I54" s="31" t="n">
        <x:v>1000</x:v>
      </x:c>
      <x:c r="J54" s="31" t="n">
        <x:v>266900</x:v>
      </x:c>
      <x:c r="K54" s="31"/>
      <x:c r="L54" s="31" t="n">
        <x:f>IF(OR(I54="",J54=""),"",J54/(I54/1000))</x:f>
        <x:v>266900</x:v>
      </x:c>
      <x:c r="M54" s="31" t="str">
        <x:f>IF(OR(I54="",K54=""),"",K54/(I54/1000))</x:f>
      </x:c>
      <x:c r="N54" s="31" t="n">
        <x:f>IF(M54&lt;&gt;"",M54,L54)</x:f>
        <x:v>266900</x:v>
      </x:c>
      <x:c r="O54" s="32" t="str">
        <x:v>常规公开标价</x:v>
      </x:c>
      <x:c r="P54" s="30" t="str">
        <x:v>缺货</x:v>
      </x:c>
      <x:c r="Q54" s="28" t="str">
        <x:v>线上渠道/门店未固定</x:v>
      </x:c>
      <x:c r="R54" s="28" t="str">
        <x:v>2026-08-04 10:59 (越南时间)</x:v>
      </x:c>
      <x:c r="S54" s="28" t="str">
        <x:v>中</x:v>
      </x:c>
      <x:c r="T54" s="33" t="str">
        <x:v>https://cooponline.vn/tim-heo-chuan-ngon-s-kg-mdl--s250515554</x:v>
      </x:c>
    </x:row>
    <x:row r="55" ht="31" customHeight="1">
      <x:c r="A55" s="30" t="n">
        <x:v>51</x:v>
      </x:c>
      <x:c r="B55" s="28" t="str">
        <x:v>Co.op Online</x:v>
      </x:c>
      <x:c r="C55" s="28" t="str">
        <x:v>Saigon Co.op</x:v>
      </x:c>
      <x:c r="D55" s="28" t="str">
        <x:v>C.P.</x:v>
      </x:c>
      <x:c r="E55" s="28" t="str">
        <x:v>Xương đùi heo 500g – TD</x:v>
      </x:c>
      <x:c r="F55" s="28" t="str">
        <x:v>500 g｜零售包装/网页标注</x:v>
      </x:c>
      <x:c r="G55" s="28" t="str">
        <x:v>腿骨</x:v>
      </x:c>
      <x:c r="H55" s="28" t="str">
        <x:v>鲜肉/未明示</x:v>
      </x:c>
      <x:c r="I55" s="31" t="n">
        <x:v>500</x:v>
      </x:c>
      <x:c r="J55" s="31" t="n">
        <x:v>36000</x:v>
      </x:c>
      <x:c r="K55" s="31"/>
      <x:c r="L55" s="31" t="n">
        <x:f>IF(OR(I55="",J55=""),"",J55/(I55/1000))</x:f>
        <x:v>72000</x:v>
      </x:c>
      <x:c r="M55" s="31" t="str">
        <x:f>IF(OR(I55="",K55=""),"",K55/(I55/1000))</x:f>
      </x:c>
      <x:c r="N55" s="31" t="n">
        <x:f>IF(M55&lt;&gt;"",M55,L55)</x:f>
        <x:v>72000</x:v>
      </x:c>
      <x:c r="O55" s="32" t="str">
        <x:v>常规公开标价</x:v>
      </x:c>
      <x:c r="P55" s="30" t="str">
        <x:v>缺货</x:v>
      </x:c>
      <x:c r="Q55" s="28" t="str">
        <x:v>线上渠道/门店未固定</x:v>
      </x:c>
      <x:c r="R55" s="28" t="str">
        <x:v>2026-08-04 10:59 (越南时间)</x:v>
      </x:c>
      <x:c r="S55" s="28" t="str">
        <x:v>中</x:v>
      </x:c>
      <x:c r="T55" s="33" t="str">
        <x:v>https://cooponline.vn/xuong-dui-heo-500g-td--s250515631</x:v>
      </x:c>
    </x:row>
    <x:row r="56" ht="31" customHeight="1">
      <x:c r="A56" s="30" t="n">
        <x:v>52</x:v>
      </x:c>
      <x:c r="B56" s="28" t="str">
        <x:v>Co.op Online</x:v>
      </x:c>
      <x:c r="C56" s="28" t="str">
        <x:v>Saigon Co.op</x:v>
      </x:c>
      <x:c r="D56" s="28" t="str">
        <x:v>页面未披露品牌</x:v>
      </x:c>
      <x:c r="E56" s="28" t="str">
        <x:v>Xương ống heo kg-TD</x:v>
      </x:c>
      <x:c r="F56" s="28" t="str">
        <x:v>1 kg｜零售包装/网页标注</x:v>
      </x:c>
      <x:c r="G56" s="28" t="str">
        <x:v>筒骨</x:v>
      </x:c>
      <x:c r="H56" s="28" t="str">
        <x:v>鲜肉/未明示</x:v>
      </x:c>
      <x:c r="I56" s="31" t="n">
        <x:v>1000</x:v>
      </x:c>
      <x:c r="J56" s="31" t="n">
        <x:v>65000</x:v>
      </x:c>
      <x:c r="K56" s="31"/>
      <x:c r="L56" s="31" t="n">
        <x:f>IF(OR(I56="",J56=""),"",J56/(I56/1000))</x:f>
        <x:v>65000</x:v>
      </x:c>
      <x:c r="M56" s="31" t="str">
        <x:f>IF(OR(I56="",K56=""),"",K56/(I56/1000))</x:f>
      </x:c>
      <x:c r="N56" s="31" t="n">
        <x:f>IF(M56&lt;&gt;"",M56,L56)</x:f>
        <x:v>65000</x:v>
      </x:c>
      <x:c r="O56" s="32" t="str">
        <x:v>常规公开标价</x:v>
      </x:c>
      <x:c r="P56" s="30" t="str">
        <x:v>缺货</x:v>
      </x:c>
      <x:c r="Q56" s="28" t="str">
        <x:v>线上渠道/门店未固定</x:v>
      </x:c>
      <x:c r="R56" s="28" t="str">
        <x:v>2026-08-04 10:59 (越南时间)</x:v>
      </x:c>
      <x:c r="S56" s="28" t="str">
        <x:v>中</x:v>
      </x:c>
      <x:c r="T56" s="33" t="str">
        <x:v>https://cooponline.vn/xuong-ong-heo-kg-td--s250515633</x:v>
      </x:c>
    </x:row>
    <x:row r="57" ht="31" customHeight="1">
      <x:c r="A57" s="30" t="n">
        <x:v>53</x:v>
      </x:c>
      <x:c r="B57" s="28" t="str">
        <x:v>Co.op Online</x:v>
      </x:c>
      <x:c r="C57" s="28" t="str">
        <x:v>Saigon Co.op</x:v>
      </x:c>
      <x:c r="D57" s="28" t="str">
        <x:v>页面未披露品牌</x:v>
      </x:c>
      <x:c r="E57" s="28" t="str">
        <x:v>Xương đuôi heo kg-TD</x:v>
      </x:c>
      <x:c r="F57" s="28" t="str">
        <x:v>1 kg｜零售包装/网页标注</x:v>
      </x:c>
      <x:c r="G57" s="28" t="str">
        <x:v>尾骨</x:v>
      </x:c>
      <x:c r="H57" s="28" t="str">
        <x:v>鲜肉/未明示</x:v>
      </x:c>
      <x:c r="I57" s="31" t="n">
        <x:v>1000</x:v>
      </x:c>
      <x:c r="J57" s="31" t="n">
        <x:v>87000</x:v>
      </x:c>
      <x:c r="K57" s="31"/>
      <x:c r="L57" s="31" t="n">
        <x:f>IF(OR(I57="",J57=""),"",J57/(I57/1000))</x:f>
        <x:v>87000</x:v>
      </x:c>
      <x:c r="M57" s="31" t="str">
        <x:f>IF(OR(I57="",K57=""),"",K57/(I57/1000))</x:f>
      </x:c>
      <x:c r="N57" s="31" t="n">
        <x:f>IF(M57&lt;&gt;"",M57,L57)</x:f>
        <x:v>87000</x:v>
      </x:c>
      <x:c r="O57" s="32" t="str">
        <x:v>常规公开标价</x:v>
      </x:c>
      <x:c r="P57" s="30" t="str">
        <x:v>缺货</x:v>
      </x:c>
      <x:c r="Q57" s="28" t="str">
        <x:v>线上渠道/门店未固定</x:v>
      </x:c>
      <x:c r="R57" s="28" t="str">
        <x:v>2026-08-04 10:59 (越南时间)</x:v>
      </x:c>
      <x:c r="S57" s="28" t="str">
        <x:v>中</x:v>
      </x:c>
      <x:c r="T57" s="33" t="str">
        <x:v>https://cooponline.vn/xuong-duoi-heo-kg-td--s250515634</x:v>
      </x:c>
    </x:row>
    <x:row r="58" ht="31" customHeight="1">
      <x:c r="A58" s="30" t="n">
        <x:v>54</x:v>
      </x:c>
      <x:c r="B58" s="28" t="str">
        <x:v>Co.op Online</x:v>
      </x:c>
      <x:c r="C58" s="28" t="str">
        <x:v>Saigon Co.op</x:v>
      </x:c>
      <x:c r="D58" s="28" t="str">
        <x:v>C.P.</x:v>
      </x:c>
      <x:c r="E58" s="28" t="str">
        <x:v>Xương đuôi heo CP – 500g</x:v>
      </x:c>
      <x:c r="F58" s="28" t="str">
        <x:v>500 g｜零售包装/网页标注</x:v>
      </x:c>
      <x:c r="G58" s="28" t="str">
        <x:v>尾骨</x:v>
      </x:c>
      <x:c r="H58" s="28" t="str">
        <x:v>鲜肉/未明示</x:v>
      </x:c>
      <x:c r="I58" s="31" t="n">
        <x:v>500</x:v>
      </x:c>
      <x:c r="J58" s="31" t="n">
        <x:v>41000</x:v>
      </x:c>
      <x:c r="K58" s="31"/>
      <x:c r="L58" s="31" t="n">
        <x:f>IF(OR(I58="",J58=""),"",J58/(I58/1000))</x:f>
        <x:v>82000</x:v>
      </x:c>
      <x:c r="M58" s="31" t="str">
        <x:f>IF(OR(I58="",K58=""),"",K58/(I58/1000))</x:f>
      </x:c>
      <x:c r="N58" s="31" t="n">
        <x:f>IF(M58&lt;&gt;"",M58,L58)</x:f>
        <x:v>82000</x:v>
      </x:c>
      <x:c r="O58" s="32" t="str">
        <x:v>常规公开标价</x:v>
      </x:c>
      <x:c r="P58" s="30" t="str">
        <x:v>缺货</x:v>
      </x:c>
      <x:c r="Q58" s="28" t="str">
        <x:v>线上渠道/门店未固定</x:v>
      </x:c>
      <x:c r="R58" s="28" t="str">
        <x:v>2026-08-04 10:59 (越南时间)</x:v>
      </x:c>
      <x:c r="S58" s="28" t="str">
        <x:v>中</x:v>
      </x:c>
      <x:c r="T58" s="33" t="str">
        <x:v>https://cooponline.vn/xuong-duoi-heo-cp-500g--s250515637</x:v>
      </x:c>
    </x:row>
    <x:row r="59" ht="31" customHeight="1">
      <x:c r="A59" s="30" t="n">
        <x:v>55</x:v>
      </x:c>
      <x:c r="B59" s="28" t="str">
        <x:v>Co.op Online</x:v>
      </x:c>
      <x:c r="C59" s="28" t="str">
        <x:v>Saigon Co.op</x:v>
      </x:c>
      <x:c r="D59" s="28" t="str">
        <x:v>C.P.</x:v>
      </x:c>
      <x:c r="E59" s="28" t="str">
        <x:v>Sườn già heo CP – 300g</x:v>
      </x:c>
      <x:c r="F59" s="28" t="str">
        <x:v>300 g｜零售包装/网页标注</x:v>
      </x:c>
      <x:c r="G59" s="28" t="str">
        <x:v>大排</x:v>
      </x:c>
      <x:c r="H59" s="28" t="str">
        <x:v>鲜肉/未明示</x:v>
      </x:c>
      <x:c r="I59" s="31" t="n">
        <x:v>300</x:v>
      </x:c>
      <x:c r="J59" s="31" t="n">
        <x:v>45000</x:v>
      </x:c>
      <x:c r="K59" s="31"/>
      <x:c r="L59" s="31" t="n">
        <x:f>IF(OR(I59="",J59=""),"",J59/(I59/1000))</x:f>
        <x:v>150000</x:v>
      </x:c>
      <x:c r="M59" s="31" t="str">
        <x:f>IF(OR(I59="",K59=""),"",K59/(I59/1000))</x:f>
      </x:c>
      <x:c r="N59" s="31" t="n">
        <x:f>IF(M59&lt;&gt;"",M59,L59)</x:f>
        <x:v>150000</x:v>
      </x:c>
      <x:c r="O59" s="32" t="str">
        <x:v>常规公开标价</x:v>
      </x:c>
      <x:c r="P59" s="30" t="str">
        <x:v>缺货</x:v>
      </x:c>
      <x:c r="Q59" s="28" t="str">
        <x:v>线上渠道/门店未固定</x:v>
      </x:c>
      <x:c r="R59" s="28" t="str">
        <x:v>2026-08-04 10:59 (越南时间)</x:v>
      </x:c>
      <x:c r="S59" s="28" t="str">
        <x:v>中</x:v>
      </x:c>
      <x:c r="T59" s="33" t="str">
        <x:v>https://cooponline.vn/suon-gia-heo-cp-300g--s250515638</x:v>
      </x:c>
    </x:row>
    <x:row r="60" ht="31" customHeight="1">
      <x:c r="A60" s="30" t="n">
        <x:v>56</x:v>
      </x:c>
      <x:c r="B60" s="28" t="str">
        <x:v>Co.op Online</x:v>
      </x:c>
      <x:c r="C60" s="28" t="str">
        <x:v>Saigon Co.op</x:v>
      </x:c>
      <x:c r="D60" s="28" t="str">
        <x:v>C.P.</x:v>
      </x:c>
      <x:c r="E60" s="28" t="str">
        <x:v>Xương ống heo 500g-CP</x:v>
      </x:c>
      <x:c r="F60" s="28" t="str">
        <x:v>500 g｜零售包装/网页标注</x:v>
      </x:c>
      <x:c r="G60" s="28" t="str">
        <x:v>筒骨</x:v>
      </x:c>
      <x:c r="H60" s="28" t="str">
        <x:v>鲜肉/未明示</x:v>
      </x:c>
      <x:c r="I60" s="31" t="n">
        <x:v>500</x:v>
      </x:c>
      <x:c r="J60" s="31" t="n">
        <x:v>38000</x:v>
      </x:c>
      <x:c r="K60" s="31"/>
      <x:c r="L60" s="31" t="n">
        <x:f>IF(OR(I60="",J60=""),"",J60/(I60/1000))</x:f>
        <x:v>76000</x:v>
      </x:c>
      <x:c r="M60" s="31" t="str">
        <x:f>IF(OR(I60="",K60=""),"",K60/(I60/1000))</x:f>
      </x:c>
      <x:c r="N60" s="31" t="n">
        <x:f>IF(M60&lt;&gt;"",M60,L60)</x:f>
        <x:v>76000</x:v>
      </x:c>
      <x:c r="O60" s="32" t="str">
        <x:v>常规公开标价</x:v>
      </x:c>
      <x:c r="P60" s="30" t="str">
        <x:v>缺货</x:v>
      </x:c>
      <x:c r="Q60" s="28" t="str">
        <x:v>线上渠道/门店未固定</x:v>
      </x:c>
      <x:c r="R60" s="28" t="str">
        <x:v>2026-08-04 10:59 (越南时间)</x:v>
      </x:c>
      <x:c r="S60" s="28" t="str">
        <x:v>中</x:v>
      </x:c>
      <x:c r="T60" s="33" t="str">
        <x:v>https://cooponline.vn/xuong-ong-heo-500g-cp--s250515642</x:v>
      </x:c>
    </x:row>
    <x:row r="61" ht="31" customHeight="1">
      <x:c r="A61" s="30" t="n">
        <x:v>57</x:v>
      </x:c>
      <x:c r="B61" s="28" t="str">
        <x:v>Co.op Online</x:v>
      </x:c>
      <x:c r="C61" s="28" t="str">
        <x:v>Saigon Co.op</x:v>
      </x:c>
      <x:c r="D61" s="28" t="str">
        <x:v>页面未披露品牌</x:v>
      </x:c>
      <x:c r="E61" s="28" t="str">
        <x:v>Xương đuôi heo kg</x:v>
      </x:c>
      <x:c r="F61" s="28" t="str">
        <x:v>1 kg｜零售包装/网页标注</x:v>
      </x:c>
      <x:c r="G61" s="28" t="str">
        <x:v>尾骨</x:v>
      </x:c>
      <x:c r="H61" s="28" t="str">
        <x:v>鲜肉/未明示</x:v>
      </x:c>
      <x:c r="I61" s="31" t="n">
        <x:v>1000</x:v>
      </x:c>
      <x:c r="J61" s="31" t="n">
        <x:v>62000</x:v>
      </x:c>
      <x:c r="K61" s="31"/>
      <x:c r="L61" s="31" t="n">
        <x:f>IF(OR(I61="",J61=""),"",J61/(I61/1000))</x:f>
        <x:v>62000</x:v>
      </x:c>
      <x:c r="M61" s="31" t="str">
        <x:f>IF(OR(I61="",K61=""),"",K61/(I61/1000))</x:f>
      </x:c>
      <x:c r="N61" s="31" t="n">
        <x:f>IF(M61&lt;&gt;"",M61,L61)</x:f>
        <x:v>62000</x:v>
      </x:c>
      <x:c r="O61" s="32" t="str">
        <x:v>常规公开标价</x:v>
      </x:c>
      <x:c r="P61" s="30" t="str">
        <x:v>缺货</x:v>
      </x:c>
      <x:c r="Q61" s="28" t="str">
        <x:v>线上渠道/门店未固定</x:v>
      </x:c>
      <x:c r="R61" s="28" t="str">
        <x:v>2026-08-04 10:59 (越南时间)</x:v>
      </x:c>
      <x:c r="S61" s="28" t="str">
        <x:v>中</x:v>
      </x:c>
      <x:c r="T61" s="33" t="str">
        <x:v>https://cooponline.vn/xuong-duoi-heo-kg--s250515644</x:v>
      </x:c>
    </x:row>
    <x:row r="62" ht="31" customHeight="1">
      <x:c r="A62" s="30" t="n">
        <x:v>58</x:v>
      </x:c>
      <x:c r="B62" s="28" t="str">
        <x:v>Co.op Online</x:v>
      </x:c>
      <x:c r="C62" s="28" t="str">
        <x:v>Saigon Co.op</x:v>
      </x:c>
      <x:c r="D62" s="28" t="str">
        <x:v>页面未披露品牌</x:v>
      </x:c>
      <x:c r="E62" s="28" t="str">
        <x:v>Xương cổ heo kg-TD</x:v>
      </x:c>
      <x:c r="F62" s="28" t="str">
        <x:v>1 kg｜零售包装/网页标注</x:v>
      </x:c>
      <x:c r="G62" s="28" t="str">
        <x:v>颈骨</x:v>
      </x:c>
      <x:c r="H62" s="28" t="str">
        <x:v>鲜肉/未明示</x:v>
      </x:c>
      <x:c r="I62" s="31" t="n">
        <x:v>1000</x:v>
      </x:c>
      <x:c r="J62" s="31" t="n">
        <x:v>60000</x:v>
      </x:c>
      <x:c r="K62" s="31"/>
      <x:c r="L62" s="31" t="n">
        <x:f>IF(OR(I62="",J62=""),"",J62/(I62/1000))</x:f>
        <x:v>60000</x:v>
      </x:c>
      <x:c r="M62" s="31" t="str">
        <x:f>IF(OR(I62="",K62=""),"",K62/(I62/1000))</x:f>
      </x:c>
      <x:c r="N62" s="31" t="n">
        <x:f>IF(M62&lt;&gt;"",M62,L62)</x:f>
        <x:v>60000</x:v>
      </x:c>
      <x:c r="O62" s="32" t="str">
        <x:v>常规公开标价</x:v>
      </x:c>
      <x:c r="P62" s="30" t="str">
        <x:v>缺货</x:v>
      </x:c>
      <x:c r="Q62" s="28" t="str">
        <x:v>线上渠道/门店未固定</x:v>
      </x:c>
      <x:c r="R62" s="28" t="str">
        <x:v>2026-08-04 10:59 (越南时间)</x:v>
      </x:c>
      <x:c r="S62" s="28" t="str">
        <x:v>中</x:v>
      </x:c>
      <x:c r="T62" s="33" t="str">
        <x:v>https://cooponline.vn/xuong-co-heo-kg-td--s250515646</x:v>
      </x:c>
    </x:row>
    <x:row r="63" ht="31" customHeight="1">
      <x:c r="A63" s="30" t="n">
        <x:v>59</x:v>
      </x:c>
      <x:c r="B63" s="28" t="str">
        <x:v>Co.op Online</x:v>
      </x:c>
      <x:c r="C63" s="28" t="str">
        <x:v>Saigon Co.op</x:v>
      </x:c>
      <x:c r="D63" s="28" t="str">
        <x:v>页面未披露品牌</x:v>
      </x:c>
      <x:c r="E63" s="28" t="str">
        <x:v>Xương giá heo kg-TD</x:v>
      </x:c>
      <x:c r="F63" s="28" t="str">
        <x:v>1 kg｜零售包装/网页标注</x:v>
      </x:c>
      <x:c r="G63" s="28" t="str">
        <x:v>脊骨</x:v>
      </x:c>
      <x:c r="H63" s="28" t="str">
        <x:v>鲜肉/未明示</x:v>
      </x:c>
      <x:c r="I63" s="31" t="n">
        <x:v>1000</x:v>
      </x:c>
      <x:c r="J63" s="31" t="n">
        <x:v>8000</x:v>
      </x:c>
      <x:c r="K63" s="31"/>
      <x:c r="L63" s="31" t="n">
        <x:f>IF(OR(I63="",J63=""),"",J63/(I63/1000))</x:f>
        <x:v>8000</x:v>
      </x:c>
      <x:c r="M63" s="31" t="str">
        <x:f>IF(OR(I63="",K63=""),"",K63/(I63/1000))</x:f>
      </x:c>
      <x:c r="N63" s="31" t="n">
        <x:f>IF(M63&lt;&gt;"",M63,L63)</x:f>
        <x:v>8000</x:v>
      </x:c>
      <x:c r="O63" s="32" t="str">
        <x:v>常规公开标价</x:v>
      </x:c>
      <x:c r="P63" s="30" t="str">
        <x:v>缺货</x:v>
      </x:c>
      <x:c r="Q63" s="28" t="str">
        <x:v>线上渠道/门店未固定</x:v>
      </x:c>
      <x:c r="R63" s="28" t="str">
        <x:v>2026-08-04 10:59 (越南时间)</x:v>
      </x:c>
      <x:c r="S63" s="28" t="str">
        <x:v>中</x:v>
      </x:c>
      <x:c r="T63" s="33" t="str">
        <x:v>https://cooponline.vn/xuong-gia-heo-kg-td--s250515749</x:v>
      </x:c>
    </x:row>
    <x:row r="64" ht="31" customHeight="1">
      <x:c r="A64" s="30" t="n">
        <x:v>60</x:v>
      </x:c>
      <x:c r="B64" s="28" t="str">
        <x:v>Co.op Online</x:v>
      </x:c>
      <x:c r="C64" s="28" t="str">
        <x:v>Saigon Co.op</x:v>
      </x:c>
      <x:c r="D64" s="28" t="str">
        <x:v>页面未披露品牌</x:v>
      </x:c>
      <x:c r="E64" s="28" t="str">
        <x:v>Xương ống heo kg</x:v>
      </x:c>
      <x:c r="F64" s="28" t="str">
        <x:v>1 kg｜零售包装/网页标注</x:v>
      </x:c>
      <x:c r="G64" s="28" t="str">
        <x:v>筒骨</x:v>
      </x:c>
      <x:c r="H64" s="28" t="str">
        <x:v>鲜肉/未明示</x:v>
      </x:c>
      <x:c r="I64" s="31" t="n">
        <x:v>1000</x:v>
      </x:c>
      <x:c r="J64" s="31" t="n">
        <x:v>36000</x:v>
      </x:c>
      <x:c r="K64" s="31"/>
      <x:c r="L64" s="31" t="n">
        <x:f>IF(OR(I64="",J64=""),"",J64/(I64/1000))</x:f>
        <x:v>36000</x:v>
      </x:c>
      <x:c r="M64" s="31" t="str">
        <x:f>IF(OR(I64="",K64=""),"",K64/(I64/1000))</x:f>
      </x:c>
      <x:c r="N64" s="31" t="n">
        <x:f>IF(M64&lt;&gt;"",M64,L64)</x:f>
        <x:v>36000</x:v>
      </x:c>
      <x:c r="O64" s="32" t="str">
        <x:v>常规公开标价</x:v>
      </x:c>
      <x:c r="P64" s="30" t="str">
        <x:v>缺货</x:v>
      </x:c>
      <x:c r="Q64" s="28" t="str">
        <x:v>线上渠道/门店未固定</x:v>
      </x:c>
      <x:c r="R64" s="28" t="str">
        <x:v>2026-08-04 10:59 (越南时间)</x:v>
      </x:c>
      <x:c r="S64" s="28" t="str">
        <x:v>中</x:v>
      </x:c>
      <x:c r="T64" s="33" t="str">
        <x:v>https://cooponline.vn/xuong-ong-heo-kg--s250515788</x:v>
      </x:c>
    </x:row>
    <x:row r="65" ht="31" customHeight="1">
      <x:c r="A65" s="30" t="n">
        <x:v>61</x:v>
      </x:c>
      <x:c r="B65" s="28" t="str">
        <x:v>Co.op Online</x:v>
      </x:c>
      <x:c r="C65" s="28" t="str">
        <x:v>Saigon Co.op</x:v>
      </x:c>
      <x:c r="D65" s="28" t="str">
        <x:v>Khánh Hân</x:v>
      </x:c>
      <x:c r="E65" s="28" t="str">
        <x:v>Xương đuôi heo kg – KH</x:v>
      </x:c>
      <x:c r="F65" s="28" t="str">
        <x:v>1 kg｜零售包装/网页标注</x:v>
      </x:c>
      <x:c r="G65" s="28" t="str">
        <x:v>尾骨</x:v>
      </x:c>
      <x:c r="H65" s="28" t="str">
        <x:v>鲜肉/未明示</x:v>
      </x:c>
      <x:c r="I65" s="31" t="n">
        <x:v>1000</x:v>
      </x:c>
      <x:c r="J65" s="31" t="n">
        <x:v>88000</x:v>
      </x:c>
      <x:c r="K65" s="31"/>
      <x:c r="L65" s="31" t="n">
        <x:f>IF(OR(I65="",J65=""),"",J65/(I65/1000))</x:f>
        <x:v>88000</x:v>
      </x:c>
      <x:c r="M65" s="31" t="str">
        <x:f>IF(OR(I65="",K65=""),"",K65/(I65/1000))</x:f>
      </x:c>
      <x:c r="N65" s="31" t="n">
        <x:f>IF(M65&lt;&gt;"",M65,L65)</x:f>
        <x:v>88000</x:v>
      </x:c>
      <x:c r="O65" s="32" t="str">
        <x:v>常规公开标价</x:v>
      </x:c>
      <x:c r="P65" s="30" t="str">
        <x:v>缺货</x:v>
      </x:c>
      <x:c r="Q65" s="28" t="str">
        <x:v>线上渠道/门店未固定</x:v>
      </x:c>
      <x:c r="R65" s="28" t="str">
        <x:v>2026-08-04 10:59 (越南时间)</x:v>
      </x:c>
      <x:c r="S65" s="28" t="str">
        <x:v>中</x:v>
      </x:c>
      <x:c r="T65" s="33" t="str">
        <x:v>https://cooponline.vn/xuong-duoi-heo-kg-kh--s250517220</x:v>
      </x:c>
    </x:row>
    <x:row r="66" ht="31" customHeight="1">
      <x:c r="A66" s="30" t="n">
        <x:v>62</x:v>
      </x:c>
      <x:c r="B66" s="28" t="str">
        <x:v>Co.op Online</x:v>
      </x:c>
      <x:c r="C66" s="28" t="str">
        <x:v>Saigon Co.op</x:v>
      </x:c>
      <x:c r="D66" s="28" t="str">
        <x:v>Khánh Hân</x:v>
      </x:c>
      <x:c r="E66" s="28" t="str">
        <x:v>Xương ống heo kg – KH</x:v>
      </x:c>
      <x:c r="F66" s="28" t="str">
        <x:v>1 kg｜零售包装/网页标注</x:v>
      </x:c>
      <x:c r="G66" s="28" t="str">
        <x:v>筒骨</x:v>
      </x:c>
      <x:c r="H66" s="28" t="str">
        <x:v>鲜肉/未明示</x:v>
      </x:c>
      <x:c r="I66" s="31" t="n">
        <x:v>1000</x:v>
      </x:c>
      <x:c r="J66" s="31" t="n">
        <x:v>83000</x:v>
      </x:c>
      <x:c r="K66" s="31"/>
      <x:c r="L66" s="31" t="n">
        <x:f>IF(OR(I66="",J66=""),"",J66/(I66/1000))</x:f>
        <x:v>83000</x:v>
      </x:c>
      <x:c r="M66" s="31" t="str">
        <x:f>IF(OR(I66="",K66=""),"",K66/(I66/1000))</x:f>
      </x:c>
      <x:c r="N66" s="31" t="n">
        <x:f>IF(M66&lt;&gt;"",M66,L66)</x:f>
        <x:v>83000</x:v>
      </x:c>
      <x:c r="O66" s="32" t="str">
        <x:v>常规公开标价</x:v>
      </x:c>
      <x:c r="P66" s="30" t="str">
        <x:v>缺货</x:v>
      </x:c>
      <x:c r="Q66" s="28" t="str">
        <x:v>线上渠道/门店未固定</x:v>
      </x:c>
      <x:c r="R66" s="28" t="str">
        <x:v>2026-08-04 10:59 (越南时间)</x:v>
      </x:c>
      <x:c r="S66" s="28" t="str">
        <x:v>中</x:v>
      </x:c>
      <x:c r="T66" s="33" t="str">
        <x:v>https://cooponline.vn/xuong-ong-heo-kg-kh--s250517221</x:v>
      </x:c>
    </x:row>
    <x:row r="67" ht="31" customHeight="1">
      <x:c r="A67" s="30" t="n">
        <x:v>63</x:v>
      </x:c>
      <x:c r="B67" s="28" t="str">
        <x:v>Co.op Online</x:v>
      </x:c>
      <x:c r="C67" s="28" t="str">
        <x:v>Saigon Co.op</x:v>
      </x:c>
      <x:c r="D67" s="28" t="str">
        <x:v>VISSAN - TPTS</x:v>
      </x:c>
      <x:c r="E67" s="28" t="str">
        <x:v>Xương đuôi heo kg</x:v>
      </x:c>
      <x:c r="F67" s="28" t="str">
        <x:v>1 kg｜零售包装/网页标注</x:v>
      </x:c>
      <x:c r="G67" s="28" t="str">
        <x:v>尾骨</x:v>
      </x:c>
      <x:c r="H67" s="28" t="str">
        <x:v>鲜肉/未明示</x:v>
      </x:c>
      <x:c r="I67" s="31" t="n">
        <x:v>1000</x:v>
      </x:c>
      <x:c r="J67" s="31" t="n">
        <x:v>113000</x:v>
      </x:c>
      <x:c r="K67" s="31"/>
      <x:c r="L67" s="31" t="n">
        <x:f>IF(OR(I67="",J67=""),"",J67/(I67/1000))</x:f>
        <x:v>113000</x:v>
      </x:c>
      <x:c r="M67" s="31" t="str">
        <x:f>IF(OR(I67="",K67=""),"",K67/(I67/1000))</x:f>
      </x:c>
      <x:c r="N67" s="31" t="n">
        <x:f>IF(M67&lt;&gt;"",M67,L67)</x:f>
        <x:v>113000</x:v>
      </x:c>
      <x:c r="O67" s="32" t="str">
        <x:v>常规公开标价</x:v>
      </x:c>
      <x:c r="P67" s="30" t="str">
        <x:v>缺货</x:v>
      </x:c>
      <x:c r="Q67" s="28" t="str">
        <x:v>线上渠道/门店未固定</x:v>
      </x:c>
      <x:c r="R67" s="28" t="str">
        <x:v>2026-08-04 10:59 (越南时间)</x:v>
      </x:c>
      <x:c r="S67" s="28" t="str">
        <x:v>中</x:v>
      </x:c>
      <x:c r="T67" s="33" t="str">
        <x:v>https://cooponline.vn/xuong-duoi-heo-kg--s250603512</x:v>
      </x:c>
    </x:row>
    <x:row r="68" ht="31" customHeight="1">
      <x:c r="A68" s="30" t="n">
        <x:v>64</x:v>
      </x:c>
      <x:c r="B68" s="28" t="str">
        <x:v>Co.op Online</x:v>
      </x:c>
      <x:c r="C68" s="28" t="str">
        <x:v>Saigon Co.op</x:v>
      </x:c>
      <x:c r="D68" s="28" t="str">
        <x:v>页面未披露品牌</x:v>
      </x:c>
      <x:c r="E68" s="28" t="str">
        <x:v>Thịt vai heo kg-TD</x:v>
      </x:c>
      <x:c r="F68" s="28" t="str">
        <x:v>1 kg｜零售包装/网页标注</x:v>
      </x:c>
      <x:c r="G68" s="28" t="str">
        <x:v>肩肉</x:v>
      </x:c>
      <x:c r="H68" s="28" t="str">
        <x:v>鲜肉/未明示</x:v>
      </x:c>
      <x:c r="I68" s="31" t="n">
        <x:v>1000</x:v>
      </x:c>
      <x:c r="J68" s="31" t="n">
        <x:v>91000</x:v>
      </x:c>
      <x:c r="K68" s="31"/>
      <x:c r="L68" s="31" t="n">
        <x:f>IF(OR(I68="",J68=""),"",J68/(I68/1000))</x:f>
        <x:v>91000</x:v>
      </x:c>
      <x:c r="M68" s="31" t="str">
        <x:f>IF(OR(I68="",K68=""),"",K68/(I68/1000))</x:f>
      </x:c>
      <x:c r="N68" s="31" t="n">
        <x:f>IF(M68&lt;&gt;"",M68,L68)</x:f>
        <x:v>91000</x:v>
      </x:c>
      <x:c r="O68" s="32" t="str">
        <x:v>常规公开标价</x:v>
      </x:c>
      <x:c r="P68" s="30" t="str">
        <x:v>缺货</x:v>
      </x:c>
      <x:c r="Q68" s="28" t="str">
        <x:v>线上渠道/门店未固定</x:v>
      </x:c>
      <x:c r="R68" s="28" t="str">
        <x:v>2026-08-04 10:59 (越南时间)</x:v>
      </x:c>
      <x:c r="S68" s="28" t="str">
        <x:v>中</x:v>
      </x:c>
      <x:c r="T68" s="33" t="str">
        <x:v>https://cooponline.vn/thit-vai-heo-kg-td--s250615642</x:v>
      </x:c>
    </x:row>
    <x:row r="69" ht="31" customHeight="1">
      <x:c r="A69" s="30" t="n">
        <x:v>65</x:v>
      </x:c>
      <x:c r="B69" s="28" t="str">
        <x:v>Co.op Online</x:v>
      </x:c>
      <x:c r="C69" s="28" t="str">
        <x:v>Saigon Co.op</x:v>
      </x:c>
      <x:c r="D69" s="28" t="str">
        <x:v>VISSAN - TPTS</x:v>
      </x:c>
      <x:c r="E69" s="28" t="str">
        <x:v>Xương bộ heo kg</x:v>
      </x:c>
      <x:c r="F69" s="28" t="str">
        <x:v>1 kg｜零售包装/网页标注</x:v>
      </x:c>
      <x:c r="G69" s="28" t="str">
        <x:v>杂骨</x:v>
      </x:c>
      <x:c r="H69" s="28" t="str">
        <x:v>鲜肉/未明示</x:v>
      </x:c>
      <x:c r="I69" s="31" t="n">
        <x:v>1000</x:v>
      </x:c>
      <x:c r="J69" s="31" t="n">
        <x:v>85000</x:v>
      </x:c>
      <x:c r="K69" s="31"/>
      <x:c r="L69" s="31" t="n">
        <x:f>IF(OR(I69="",J69=""),"",J69/(I69/1000))</x:f>
        <x:v>85000</x:v>
      </x:c>
      <x:c r="M69" s="31" t="str">
        <x:f>IF(OR(I69="",K69=""),"",K69/(I69/1000))</x:f>
      </x:c>
      <x:c r="N69" s="31" t="n">
        <x:f>IF(M69&lt;&gt;"",M69,L69)</x:f>
        <x:v>85000</x:v>
      </x:c>
      <x:c r="O69" s="32" t="str">
        <x:v>常规公开标价</x:v>
      </x:c>
      <x:c r="P69" s="30" t="str">
        <x:v>缺货</x:v>
      </x:c>
      <x:c r="Q69" s="28" t="str">
        <x:v>线上渠道/门店未固定</x:v>
      </x:c>
      <x:c r="R69" s="28" t="str">
        <x:v>2026-08-04 10:59 (越南时间)</x:v>
      </x:c>
      <x:c r="S69" s="28" t="str">
        <x:v>中</x:v>
      </x:c>
      <x:c r="T69" s="33" t="str">
        <x:v>https://cooponline.vn/3133818--s250706548</x:v>
      </x:c>
    </x:row>
    <x:row r="70" ht="31" customHeight="1">
      <x:c r="A70" s="30" t="n">
        <x:v>66</x:v>
      </x:c>
      <x:c r="B70" s="28" t="str">
        <x:v>Kingfoodmart（补充）</x:v>
      </x:c>
      <x:c r="C70" s="28" t="str">
        <x:v>GREENFEED</x:v>
      </x:c>
      <x:c r="D70" s="28" t="str">
        <x:v>Meatcool</x:v>
      </x:c>
      <x:c r="E70" s="28" t="str">
        <x:v>Cốt lết Meatcool 9-10 miếng/túi 900g</x:v>
      </x:c>
      <x:c r="F70" s="28" t="str">
        <x:v>900 g｜零售包装/网页标注</x:v>
      </x:c>
      <x:c r="G70" s="28" t="str">
        <x:v>猪排</x:v>
      </x:c>
      <x:c r="H70" s="28" t="str">
        <x:v>鲜肉/未明示</x:v>
      </x:c>
      <x:c r="I70" s="31" t="n">
        <x:v>900</x:v>
      </x:c>
      <x:c r="J70" s="31" t="n">
        <x:v>125000</x:v>
      </x:c>
      <x:c r="K70" s="31"/>
      <x:c r="L70" s="31" t="n">
        <x:f>IF(OR(I70="",J70=""),"",J70/(I70/1000))</x:f>
        <x:v>138888.88888888888</x:v>
      </x:c>
      <x:c r="M70" s="31" t="str">
        <x:f>IF(OR(I70="",K70=""),"",K70/(I70/1000))</x:f>
      </x:c>
      <x:c r="N70" s="31" t="n">
        <x:f>IF(M70&lt;&gt;"",M70,L70)</x:f>
        <x:v>138888.88888888888</x:v>
      </x:c>
      <x:c r="O70" s="32" t="str">
        <x:v>常规公开标价</x:v>
      </x:c>
      <x:c r="P70" s="30" t="str">
        <x:v>在售</x:v>
      </x:c>
      <x:c r="Q70" s="28" t="str">
        <x:v>胡志明市/默认门店</x:v>
      </x:c>
      <x:c r="R70" s="28" t="str">
        <x:v>2026-08-04 10:59 (越南时间)</x:v>
      </x:c>
      <x:c r="S70" s="28" t="str">
        <x:v>中</x:v>
      </x:c>
      <x:c r="T70" s="33" t="str">
        <x:v>https://kingfoodmart.com/thit-heo/cot-let-meatcool-tui-900g</x:v>
      </x:c>
    </x:row>
    <x:row r="71" ht="31" customHeight="1">
      <x:c r="A71" s="30" t="n">
        <x:v>67</x:v>
      </x:c>
      <x:c r="B71" s="28" t="str">
        <x:v>Kingfoodmart（补充）</x:v>
      </x:c>
      <x:c r="C71" s="28" t="str">
        <x:v>GREENFEED</x:v>
      </x:c>
      <x:c r="D71" s="28" t="str">
        <x:v>Meatcool</x:v>
      </x:c>
      <x:c r="E71" s="28" t="str">
        <x:v>Thịt đùi Meatcool túi 900g</x:v>
      </x:c>
      <x:c r="F71" s="28" t="str">
        <x:v>900 g｜零售包装/网页标注</x:v>
      </x:c>
      <x:c r="G71" s="28" t="str">
        <x:v>后腿肉</x:v>
      </x:c>
      <x:c r="H71" s="28" t="str">
        <x:v>鲜肉/未明示</x:v>
      </x:c>
      <x:c r="I71" s="31" t="n">
        <x:v>900</x:v>
      </x:c>
      <x:c r="J71" s="31" t="n">
        <x:v>125000</x:v>
      </x:c>
      <x:c r="K71" s="31"/>
      <x:c r="L71" s="31" t="n">
        <x:f>IF(OR(I71="",J71=""),"",J71/(I71/1000))</x:f>
        <x:v>138888.88888888888</x:v>
      </x:c>
      <x:c r="M71" s="31" t="str">
        <x:f>IF(OR(I71="",K71=""),"",K71/(I71/1000))</x:f>
      </x:c>
      <x:c r="N71" s="31" t="n">
        <x:f>IF(M71&lt;&gt;"",M71,L71)</x:f>
        <x:v>138888.88888888888</x:v>
      </x:c>
      <x:c r="O71" s="32" t="str">
        <x:v>常规公开标价</x:v>
      </x:c>
      <x:c r="P71" s="30" t="str">
        <x:v>在售</x:v>
      </x:c>
      <x:c r="Q71" s="28" t="str">
        <x:v>胡志明市/默认门店</x:v>
      </x:c>
      <x:c r="R71" s="28" t="str">
        <x:v>2026-08-04 10:59 (越南时间)</x:v>
      </x:c>
      <x:c r="S71" s="28" t="str">
        <x:v>中</x:v>
      </x:c>
      <x:c r="T71" s="33" t="str">
        <x:v>https://kingfoodmart.com/thit-heo/thit-dui-meatcool-tui-900g</x:v>
      </x:c>
    </x:row>
    <x:row r="72" ht="31" customHeight="1">
      <x:c r="A72" s="30" t="n">
        <x:v>68</x:v>
      </x:c>
      <x:c r="B72" s="28" t="str">
        <x:v>Kingfoodmart（补充）</x:v>
      </x:c>
      <x:c r="C72" s="28" t="str">
        <x:v>Vĩnh Tân</x:v>
      </x:c>
      <x:c r="D72" s="28" t="str">
        <x:v>Vĩnh Tân</x:v>
      </x:c>
      <x:c r="E72" s="28" t="str">
        <x:v>Sườn non heo Vĩnh Tân khay 400g</x:v>
      </x:c>
      <x:c r="F72" s="28" t="str">
        <x:v>400 g｜零售包装/网页标注</x:v>
      </x:c>
      <x:c r="G72" s="28" t="str">
        <x:v>小排</x:v>
      </x:c>
      <x:c r="H72" s="28" t="str">
        <x:v>鲜肉/未明示</x:v>
      </x:c>
      <x:c r="I72" s="31" t="n">
        <x:v>400</x:v>
      </x:c>
      <x:c r="J72" s="31" t="n">
        <x:v>125000</x:v>
      </x:c>
      <x:c r="K72" s="31"/>
      <x:c r="L72" s="31" t="n">
        <x:f>IF(OR(I72="",J72=""),"",J72/(I72/1000))</x:f>
        <x:v>312500</x:v>
      </x:c>
      <x:c r="M72" s="31" t="str">
        <x:f>IF(OR(I72="",K72=""),"",K72/(I72/1000))</x:f>
      </x:c>
      <x:c r="N72" s="31" t="n">
        <x:f>IF(M72&lt;&gt;"",M72,L72)</x:f>
        <x:v>312500</x:v>
      </x:c>
      <x:c r="O72" s="32" t="str">
        <x:v>常规公开标价</x:v>
      </x:c>
      <x:c r="P72" s="30" t="str">
        <x:v>在售</x:v>
      </x:c>
      <x:c r="Q72" s="28" t="str">
        <x:v>胡志明市/默认门店</x:v>
      </x:c>
      <x:c r="R72" s="28" t="str">
        <x:v>2026-08-04 10:59 (越南时间)</x:v>
      </x:c>
      <x:c r="S72" s="28" t="str">
        <x:v>中</x:v>
      </x:c>
      <x:c r="T72" s="33" t="str">
        <x:v>https://kingfoodmart.com/thit-heo/suon-non-heo-vinh-tan-khay-400g-1-khay-72920</x:v>
      </x:c>
    </x:row>
  </x:sheetData>
  <x:mergeCells>
    <x:mergeCell ref="A1:T1"/>
    <x:mergeCell ref="A2:T2"/>
  </x:mergeCells>
  <x:conditionalFormatting sqref="P5:P72">
    <x:cfRule type="containsText" dxfId="0" priority="1" operator="containsText" text="在售"/>
    <x:cfRule type="containsText" dxfId="1" priority="2" operator="containsText" text="缺货"/>
  </x:conditionalFormatting>
  <x:conditionalFormatting sqref="N5:N72">
    <x:cfRule type="colorScale" priority="3">
      <x:colorScale>
        <x:cfvo type="min"/>
        <x:cfvo type="percentile" val="50"/>
        <x:cfvo type="max"/>
        <x:color rgb="FFE8F5E9"/>
        <x:color rgb="FFFFF4CC"/>
        <x:color rgb="FFFBE9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244b673468c4c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1" hidden="0" customWidth="1"/>
    <x:col min="3" max="3" width="25" hidden="0" customWidth="1"/>
    <x:col min="4" max="4" width="12" hidden="0" customWidth="1"/>
    <x:col min="5" max="5" width="62" hidden="0" customWidth="1"/>
    <x:col min="6" max="6" width="72" hidden="0" customWidth="1"/>
  </x:cols>
  <x:sheetData>
    <x:row r="1" ht="28" customHeight="1">
      <x:c r="A1" s="4" t="str">
        <x:v>来源覆盖与采集状态</x:v>
      </x:c>
    </x:row>
    <x:row r="2" ht="30" customHeight="1">
      <x:c r="A2" s="8" t="str">
        <x:v>此表说明每个指定来源是否取得可核验的公开价格。没有公开价、需要登录或页面缺货时，均不猜测、不补数。</x:v>
      </x:c>
    </x:row>
    <x:row r="4">
      <x:c r="A4" s="14" t="str">
        <x:v>渠道/网站</x:v>
      </x:c>
      <x:c r="B4" s="14" t="str">
        <x:v>主要品牌/产品</x:v>
      </x:c>
      <x:c r="C4" s="14" t="str">
        <x:v>采集结果</x:v>
      </x:c>
      <x:c r="D4" s="14" t="str">
        <x:v>价格行数</x:v>
      </x:c>
      <x:c r="E4" s="14" t="str">
        <x:v>限制及处理</x:v>
      </x:c>
      <x:c r="F4" s="14" t="str">
        <x:v>来源链接</x:v>
      </x:c>
    </x:row>
    <x:row r="5" ht="42" customHeight="1">
      <x:c r="A5" s="28" t="str">
        <x:v>Bách Hóa Xanh</x:v>
      </x:c>
      <x:c r="B5" s="28" t="str">
        <x:v>C.P.及普通猪肉</x:v>
      </x:c>
      <x:c r="C5" s="28" t="str">
        <x:v>公开价格</x:v>
      </x:c>
      <x:c r="D5" s="34" t="n">
        <x:v>4</x:v>
      </x:c>
      <x:c r="E5" s="28" t="str">
        <x:v>商品页结构化价格有效至当天；仅明确写有 C.P. 的 SKU 标为 C.P.</x:v>
      </x:c>
      <x:c r="F5" s="33" t="str">
        <x:v>https://www.bachhoaxanh.com/thit-heo-cp</x:v>
      </x:c>
    </x:row>
    <x:row r="6" ht="42" customHeight="1">
      <x:c r="A6" s="28" t="str">
        <x:v>PorkShop</x:v>
      </x:c>
      <x:c r="B6" s="28" t="str">
        <x:v>PorkShop</x:v>
      </x:c>
      <x:c r="C6" s="28" t="str">
        <x:v>公开价格</x:v>
      </x:c>
      <x:c r="D6" s="34" t="n">
        <x:v>14</x:v>
      </x:c>
      <x:c r="E6" s="28" t="str">
        <x:v>首页公开商品标价；规格写在品名中</x:v>
      </x:c>
      <x:c r="F6" s="33" t="str">
        <x:v>https://porkshop.vn/</x:v>
      </x:c>
    </x:row>
    <x:row r="7" ht="42" customHeight="1">
      <x:c r="A7" s="28" t="str">
        <x:v>VissanMart</x:v>
      </x:c>
      <x:c r="B7" s="28" t="str">
        <x:v>VISSAN</x:v>
      </x:c>
      <x:c r="C7" s="28" t="str">
        <x:v>公开价格</x:v>
      </x:c>
      <x:c r="D7" s="34" t="n">
        <x:v>20</x:v>
      </x:c>
      <x:c r="E7" s="28" t="str">
        <x:v>VietGAP 分类页公开商品和包装价</x:v>
      </x:c>
      <x:c r="F7" s="33" t="str">
        <x:v>https://vissanmart.com/thuc-pham-tuoi-song/thit-heo-vietgap.html</x:v>
      </x:c>
    </x:row>
    <x:row r="8" ht="42" customHeight="1">
      <x:c r="A8" s="28" t="str">
        <x:v>WinMart</x:v>
      </x:c>
      <x:c r="B8" s="28" t="str">
        <x:v>MEATDeli / Masan</x:v>
      </x:c>
      <x:c r="C8" s="28" t="str">
        <x:v>公开价格</x:v>
      </x:c>
      <x:c r="D8" s="34" t="n">
        <x:v>4</x:v>
      </x:c>
      <x:c r="E8" s="28" t="str">
        <x:v>官方交易页；价格与库存受配送门店影响</x:v>
      </x:c>
      <x:c r="F8" s="33" t="str">
        <x:v>https://winmart.vn/products/meat-deli-ba-roi-heo--s10617959</x:v>
      </x:c>
    </x:row>
    <x:row r="9" ht="42" customHeight="1">
      <x:c r="A9" s="28" t="str">
        <x:v>Co.op Online</x:v>
      </x:c>
      <x:c r="B9" s="28" t="str">
        <x:v>MEATDeli、C.P.、VISSAN等</x:v>
      </x:c>
      <x:c r="C9" s="28" t="str">
        <x:v>页面标价（采集时缺货）</x:v>
      </x:c>
      <x:c r="D9" s="34" t="n">
        <x:v>23</x:v>
      </x:c>
      <x:c r="E9" s="28" t="str">
        <x:v>全部样本结构化数据为 OutOfStock；不计入在售汇总</x:v>
      </x:c>
      <x:c r="F9" s="33" t="str">
        <x:v>https://cooponline.vn/c/thit-heo</x:v>
      </x:c>
    </x:row>
    <x:row r="10" ht="42" customHeight="1">
      <x:c r="A10" s="28" t="str">
        <x:v>Kingfoodmart（补充）</x:v>
      </x:c>
      <x:c r="B10" s="28" t="str">
        <x:v>Meatcool / GREENFEED</x:v>
      </x:c>
      <x:c r="C10" s="28" t="str">
        <x:v>公开价格</x:v>
      </x:c>
      <x:c r="D10" s="34" t="n">
        <x:v>3</x:v>
      </x:c>
      <x:c r="E10" s="28" t="str">
        <x:v>补充用户关注的 GreenFeed/Meatcool；默认胡志明市门店</x:v>
      </x:c>
      <x:c r="F10" s="33" t="str">
        <x:v>https://kingfoodmart.com/thit-heo</x:v>
      </x:c>
    </x:row>
    <x:row r="11" ht="42" customHeight="1">
      <x:c r="A11" s="28" t="str">
        <x:v>SagriFood</x:v>
      </x:c>
      <x:c r="B11" s="28" t="str">
        <x:v>Sagrifood</x:v>
      </x:c>
      <x:c r="C11" s="28" t="str">
        <x:v>未核验公开价</x:v>
      </x:c>
      <x:c r="D11" s="34" t="n">
        <x:v>0</x:v>
      </x:c>
      <x:c r="E11" s="28" t="str">
        <x:v>提供的链接在本次采集返回 404，未录入价格</x:v>
      </x:c>
      <x:c r="F11" s="33" t="str">
        <x:v>https://sagrifood.com.vn/thit-heo-vietgap</x:v>
      </x:c>
    </x:row>
    <x:row r="12" ht="42" customHeight="1">
      <x:c r="A12" s="28" t="str">
        <x:v>VISSAN官网</x:v>
      </x:c>
      <x:c r="B12" s="28" t="str">
        <x:v>VISSAN</x:v>
      </x:c>
      <x:c r="C12" s="28" t="str">
        <x:v>产品目录/跳转</x:v>
      </x:c>
      <x:c r="D12" s="34" t="n">
        <x:v>0</x:v>
      </x:c>
      <x:c r="E12" s="28" t="str">
        <x:v>官网产品页可用于 SKU 核验；公开交易价以 VissanMart 为准</x:v>
      </x:c>
      <x:c r="F12" s="33" t="str">
        <x:v>https://www.vissan.com.vn/san-pham/thuc-pham-tuoi-song/thit-heo-vietgap/</x:v>
      </x:c>
    </x:row>
    <x:row r="13" ht="42" customHeight="1">
      <x:c r="A13" s="28" t="str">
        <x:v>BAF ANFARM</x:v>
      </x:c>
      <x:c r="B13" s="28" t="str">
        <x:v>BAF / ANFARM</x:v>
      </x:c>
      <x:c r="C13" s="28" t="str">
        <x:v>产品介绍</x:v>
      </x:c>
      <x:c r="D13" s="34" t="n">
        <x:v>0</x:v>
      </x:c>
      <x:c r="E13" s="28" t="str">
        <x:v>公开产品结构，未发现可核验统一商品标价</x:v>
      </x:c>
      <x:c r="F13" s="33" t="str">
        <x:v>https://baf.vn/anfarm/</x:v>
      </x:c>
    </x:row>
    <x:row r="14" ht="42" customHeight="1">
      <x:c r="A14" s="28" t="str">
        <x:v>Kamereo</x:v>
      </x:c>
      <x:c r="B14" s="28" t="str">
        <x:v>餐饮/B2B渠道</x:v>
      </x:c>
      <x:c r="C14" s="28" t="str">
        <x:v>需登录/门店口径</x:v>
      </x:c>
      <x:c r="D14" s="34" t="n">
        <x:v>0</x:v>
      </x:c>
      <x:c r="E14" s="28" t="str">
        <x:v>B2B商品价可能依客户、地址与配送条件变化；本次不猜测</x:v>
      </x:c>
      <x:c r="F14" s="33" t="str">
        <x:v>https://kamereo.vn/</x:v>
      </x:c>
    </x:row>
    <x:row r="15" ht="42" customHeight="1">
      <x:c r="A15" s="28" t="str">
        <x:v>Japfa Best</x:v>
      </x:c>
      <x:c r="B15" s="28" t="str">
        <x:v>Japfa</x:v>
      </x:c>
      <x:c r="C15" s="28" t="str">
        <x:v>产品/渠道介绍</x:v>
      </x:c>
      <x:c r="D15" s="34" t="n">
        <x:v>0</x:v>
      </x:c>
      <x:c r="E15" s="28" t="str">
        <x:v>未发现可核验公开零售价</x:v>
      </x:c>
      <x:c r="F15" s="33" t="str">
        <x:v>https://japfabest.com.vn/</x:v>
      </x:c>
    </x:row>
  </x:sheetData>
  <x:mergeCells>
    <x:mergeCell ref="A1:F1"/>
    <x:mergeCell ref="A2:F2"/>
  </x:mergeCells>
  <x:conditionalFormatting sqref="C5:C15">
    <x:cfRule type="containsText" dxfId="2" priority="1" operator="containsText" text="公开价格"/>
    <x:cfRule type="containsText" dxfId="3" priority="2" operator="containsText" text="缺货"/>
    <x:cfRule type="containsText" dxfId="4" priority="3" operator="containsText" text="未核验"/>
  </x:conditionalFormatting>
  <x:pageMargins left="0.7" right="0.7" top="0.75" bottom="0.75" header="0.3" footer="0.3"/>
  <x:tableParts count="1">
    <x:tablePart xmlns:r="http://schemas.openxmlformats.org/officeDocument/2006/relationships" r:id="R7503d992fe3d40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4" hidden="0" customWidth="1"/>
    <x:col min="3" max="3" width="44" hidden="0" customWidth="1"/>
    <x:col min="4" max="4" width="48" hidden="0" customWidth="1"/>
  </x:cols>
  <x:sheetData>
    <x:row r="1" ht="28" customHeight="1">
      <x:c r="A1" s="4" t="str">
        <x:v>使用口径与复核方法</x:v>
      </x:c>
    </x:row>
    <x:row r="2" ht="30" customHeight="1">
      <x:c r="A2" s="8" t="str">
        <x:v>本工作簿可作为每日自动采集的底表：只需更新“价格明细”的包装价、重量、库存和链接，所有每公斤价格与汇总公式会随之更新。</x:v>
      </x:c>
    </x:row>
    <x:row r="4">
      <x:c r="A4" s="14" t="str">
        <x:v>项目</x:v>
      </x:c>
      <x:c r="B4" s="14" t="str">
        <x:v>规则</x:v>
      </x:c>
      <x:c r="C4" s="14" t="str">
        <x:v>为什么这样做</x:v>
      </x:c>
      <x:c r="D4" s="14" t="str">
        <x:v>操作建议</x:v>
      </x:c>
    </x:row>
    <x:row r="5" ht="52" customHeight="1">
      <x:c r="A5" s="36" t="str">
        <x:v>官方价格含义</x:v>
      </x:c>
      <x:c r="B5" s="28" t="str">
        <x:v>零售商/品牌官方网站或官方线上商城公开显示的商品标价。</x:v>
      </x:c>
      <x:c r="C5" s="28" t="str">
        <x:v>并非政府发布的指导价，也不是批发/白条/活猪价。</x:v>
      </x:c>
      <x:c r="D5" s="28" t="str">
        <x:v>引用时写“公开零售标价”更准确。</x:v>
      </x:c>
    </x:row>
    <x:row r="6" ht="52" customHeight="1">
      <x:c r="A6" s="36" t="str">
        <x:v>公斤价换算</x:v>
      </x:c>
      <x:c r="B6" s="28" t="str">
        <x:v>常规价/kg = 常规包装价 ÷ (净重g / 1,000)；促销价同理。</x:v>
      </x:c>
      <x:c r="C6" s="28" t="str">
        <x:v>包装规格不同，不能直接比较包装价。</x:v>
      </x:c>
      <x:c r="D6" s="28" t="str">
        <x:v>明细 L、M、N 列为 Excel 公式，可审计。</x:v>
      </x:c>
    </x:row>
    <x:row r="7" ht="52" customHeight="1">
      <x:c r="A7" s="36" t="str">
        <x:v>实际价</x:v>
      </x:c>
      <x:c r="B7" s="28" t="str">
        <x:v>若网页同时显示促销价，以促销价/kg 作为实际价；否则使用常规价/kg。</x:v>
      </x:c>
      <x:c r="C7" s="28" t="str">
        <x:v>同时保留原价，避免把短期促销误认为基础价。</x:v>
      </x:c>
      <x:c r="D7" s="28" t="str">
        <x:v>筛选“价格性质”可区分促销。</x:v>
      </x:c>
    </x:row>
    <x:row r="8" ht="52" customHeight="1">
      <x:c r="A8" s="36" t="str">
        <x:v>重量未披露</x:v>
      </x:c>
      <x:c r="B8" s="28" t="str">
        <x:v>仅当商品名或属性明确写 1 kg / 500g / 300g 等时才换算。</x:v>
      </x:c>
      <x:c r="C8" s="28" t="str">
        <x:v>不把“每份”“一盒”等不清楚规格擅自当作 kg。</x:v>
      </x:c>
      <x:c r="D8" s="28" t="str">
        <x:v>本次 Co.op 标为 kg 的商品按 1,000g，且在备注中说明。</x:v>
      </x:c>
    </x:row>
    <x:row r="9" ht="52" customHeight="1">
      <x:c r="A9" s="36" t="str">
        <x:v>库存状态</x:v>
      </x:c>
      <x:c r="B9" s="28" t="str">
        <x:v>缺货 SKU 保留网页标价，但不纳入“仅在售”的价格区间。</x:v>
      </x:c>
      <x:c r="C9" s="28" t="str">
        <x:v>缺货价不能代表当前实际可购买水平。</x:v>
      </x:c>
      <x:c r="D9" s="28" t="str">
        <x:v>汇总和明细均可筛选状态。</x:v>
      </x:c>
    </x:row>
    <x:row r="10" ht="52" customHeight="1">
      <x:c r="A10" s="36" t="str">
        <x:v>地区/门店</x:v>
      </x:c>
      <x:c r="B10" s="28" t="str">
        <x:v>线上价格可能由配送地址、门店库存和会员促销决定。</x:v>
      </x:c>
      <x:c r="C10" s="28" t="str">
        <x:v>同一品牌跨城市不可直接归因于地区差异。</x:v>
      </x:c>
      <x:c r="D10" s="28" t="str">
        <x:v>如需地区比较，应固定河内、胡志明等城市/门店。</x:v>
      </x:c>
    </x:row>
    <x:row r="11" ht="52" customHeight="1">
      <x:c r="A11" s="36" t="str">
        <x:v>产品可比性</x:v>
      </x:c>
      <x:c r="B11" s="28" t="str">
        <x:v>先对齐部位、是否带骨、冷鲜/冷冻、品牌和重量。</x:v>
      </x:c>
      <x:c r="C11" s="28" t="str">
        <x:v>五花、去骨五花、小排等不是同一种产品。</x:v>
      </x:c>
      <x:c r="D11" s="28" t="str">
        <x:v>不要把不同切割品直接取均价。</x:v>
      </x:c>
    </x:row>
    <x:row r="12" ht="52" customHeight="1">
      <x:c r="A12" s="36" t="str">
        <x:v>未获取渠道</x:v>
      </x:c>
      <x:c r="B12" s="28" t="str">
        <x:v>页面无价、访问 404、需要登录或 B2B 报价时一律不填价格。</x:v>
      </x:c>
      <x:c r="C12" s="28" t="str">
        <x:v>防止机器人根据旧价或推测制造假数据。</x:v>
      </x:c>
      <x:c r="D12" s="28" t="str">
        <x:v>详见“来源状态”，后续可通过固定账号/门店补齐。</x:v>
      </x:c>
    </x:row>
  </x:sheetData>
  <x:mergeCells>
    <x:mergeCell ref="A1:D1"/>
    <x:mergeCell ref="A2:D2"/>
  </x:mergeCells>
  <x:pageMargins left="0.7" right="0.7" top="0.75" bottom="0.75" header="0.3" footer="0.3"/>
</x:worksheet>
</file>