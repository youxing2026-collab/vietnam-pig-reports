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0a549043c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键结论" sheetId="1" r:id="R7622b1f7a85e42b0"/>
    <x:sheet xmlns:r="http://schemas.openxmlformats.org/officeDocument/2006/relationships" name="2025全国概览" sheetId="2" r:id="Rd866a0b164d145c0"/>
    <x:sheet xmlns:r="http://schemas.openxmlformats.org/officeDocument/2006/relationships" name="近5年趋势" sheetId="3" r:id="Re235e6d47fa84bd6"/>
    <x:sheet xmlns:r="http://schemas.openxmlformats.org/officeDocument/2006/relationships" name="优秀场分位" sheetId="4" r:id="Ref74e1010bc44ce6"/>
    <x:sheet xmlns:r="http://schemas.openxmlformats.org/officeDocument/2006/relationships" name="DanBred商业场" sheetId="5" r:id="Rc7fb743bc4364df9"/>
    <x:sheet xmlns:r="http://schemas.openxmlformats.org/officeDocument/2006/relationships" name="来源与下载" sheetId="6" r:id="R5776974e002f4ef5"/>
    <x:sheet xmlns:r="http://schemas.openxmlformats.org/officeDocument/2006/relationships" name="图表数据" sheetId="7" r:id="R0938fff8a82f44db"/>
    <x:sheet xmlns:r="http://schemas.openxmlformats.org/officeDocument/2006/relationships" name="成本基准" sheetId="8" r:id="R794daf42f0274b93"/>
    <x:sheet xmlns:r="http://schemas.openxmlformats.org/officeDocument/2006/relationships" name="肉质与胴体" sheetId="9" r:id="R00f148a2f845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0.0%"/>
    <x:numFmt numFmtId="202" formatCode="0.00"/>
    <x:numFmt numFmtId="203" formatCode="0"/>
    <x:numFmt numFmtId="204" formatCode="#,##0"/>
    <x:numFmt numFmtId="205" formatCode="#,##0.0"/>
    <x:numFmt numFmtId="206" formatCode="0.00%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D4B57"/>
      <x:name val="Carlito"/>
    </x:font>
    <x:font>
      <x:b/>
      <x:sz val="12"/>
      <x:color rgb="FFFFFFFF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B4C00"/>
      <x:name val="Carlito"/>
    </x:font>
    <x:font>
      <x:sz val="11"/>
      <x:color rgb="FF0563C1"/>
      <x:name val="Carlito"/>
    </x:font>
    <x:font>
      <x:b/>
      <x:sz val="10"/>
      <x:color rgb="FF1F2933"/>
      <x:name val="Aptos"/>
    </x:font>
    <x:font>
      <x:sz val="10"/>
      <x:color rgb="FF1F2933"/>
      <x:name val="Aptos"/>
    </x:font>
    <x:font>
      <x:i/>
      <x:sz val="10"/>
      <x:color rgb="FF1F2933"/>
      <x:name val="Aptos"/>
    </x:font>
    <x:font>
      <x:b/>
      <x:sz val="16"/>
      <x:color rgb="FFFFFFFF"/>
      <x:name val="Aptos Display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0F4"/>
      </x:patternFill>
    </x:fill>
    <x:fill>
      <x:patternFill patternType="solid">
        <x:fgColor rgb="FF0F5B66"/>
      </x:patternFill>
    </x:fill>
    <x:fill>
      <x:patternFill patternType="solid">
        <x:fgColor rgb="FFE6F3F3"/>
      </x:patternFill>
    </x:fill>
    <x:fill>
      <x:patternFill patternType="solid">
        <x:fgColor rgb="FFDCEAF0"/>
      </x:patternFill>
    </x:fill>
    <x:fill>
      <x:patternFill patternType="solid">
        <x:fgColor rgb="FFE8F3E8"/>
      </x:patternFill>
    </x:fill>
    <x:fill>
      <x:patternFill patternType="solid">
        <x:fgColor rgb="FFFDE8E7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7DEE4"/>
      </x:left>
      <x:right style="thin">
        <x:color rgb="FFD7DEE4"/>
      </x:right>
      <x:top style="thin">
        <x:color rgb="FFD7DEE4"/>
      </x:top>
      <x:bottom style="thin">
        <x:color rgb="FFD7DEE4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1" fontId="0" fillId="7" borderId="1" xfId="0" applyNumberFormat="1" applyFont="1" applyFill="1" applyBorder="1" applyAlignment="1">
      <x:alignment vertical="center"/>
    </x:xf>
    <x:xf numFmtId="201" fontId="6" fillId="7" borderId="1" xfId="0" applyNumberFormat="1" applyFont="1" applyFill="1" applyBorder="1" applyAlignment="1">
      <x:alignment vertical="center"/>
    </x:xf>
    <x:xf numFmtId="202" fontId="0" fillId="7" borderId="1" xfId="0" applyNumberFormat="1" applyFont="1" applyFill="1" applyBorder="1" applyAlignment="1">
      <x:alignment vertical="center"/>
    </x:xf>
    <x:xf numFmtId="202" fontId="6" fillId="7" borderId="1" xfId="0" applyNumberFormat="1" applyFont="1" applyFill="1" applyBorder="1" applyAlignment="1">
      <x:alignment vertical="center"/>
    </x:xf>
    <x:xf numFmtId="200" fontId="0" fillId="7" borderId="1" xfId="0" applyNumberFormat="1" applyFont="1" applyFill="1" applyBorder="1" applyAlignment="1">
      <x:alignment vertical="center"/>
    </x:xf>
    <x:xf numFmtId="200" fontId="6" fillId="7" borderId="1" xfId="0" applyNumberFormat="1" applyFont="1" applyFill="1" applyBorder="1" applyAlignment="1">
      <x:alignment vertical="center"/>
    </x:xf>
    <x:xf numFmtId="203" fontId="0" fillId="8" borderId="1" xfId="0" applyNumberFormat="1" applyFont="1" applyFill="1" applyBorder="1" applyAlignment="1">
      <x:alignment vertical="center"/>
    </x:xf>
    <x:xf numFmtId="203" fontId="6" fillId="8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4" fontId="0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204" fontId="6" fillId="5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5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200" fontId="9" fillId="7" borderId="1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201" fontId="9" fillId="7" borderId="1" xfId="0" applyNumberFormat="1" applyFont="1" applyFill="1" applyBorder="1" applyAlignment="1">
      <x:alignment vertical="center"/>
    </x:xf>
    <x:xf numFmtId="203" fontId="10" fillId="0" borderId="1" xfId="0" applyNumberFormat="1" applyFont="1" applyFill="1" applyBorder="1" applyAlignment="1">
      <x:alignment vertical="center"/>
    </x:xf>
    <x:xf numFmtId="203" fontId="9" fillId="8" borderId="1" xfId="0" applyNumberFormat="1" applyFont="1" applyFill="1" applyBorder="1" applyAlignment="1">
      <x:alignment vertical="center"/>
    </x:xf>
    <x:xf numFmtId="202" fontId="10" fillId="0" borderId="1" xfId="0" applyNumberFormat="1" applyFont="1" applyFill="1" applyBorder="1" applyAlignment="1">
      <x:alignment vertical="center"/>
    </x:xf>
    <x:xf numFmtId="202" fontId="9" fillId="7" borderId="1" xfId="0" applyNumberFormat="1" applyFont="1" applyFill="1" applyBorder="1" applyAlignment="1">
      <x:alignment vertical="center"/>
    </x:xf>
    <x:xf numFmtId="0" fontId="11" fillId="9" borderId="1" xfId="0" applyNumberFormat="1" applyFont="1" applyFill="1" applyBorder="1" applyAlignment="1">
      <x:alignment vertical="center" wrapText="1"/>
    </x:xf>
    <x:xf numFmtId="204" fontId="10" fillId="0" borderId="1" xfId="0" applyNumberFormat="1" applyFont="1" applyFill="1" applyBorder="1" applyAlignment="1">
      <x:alignment vertical="center"/>
    </x:xf>
    <x:xf numFmtId="205" fontId="10" fillId="0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204" fontId="9" fillId="5" borderId="1" xfId="0" applyNumberFormat="1" applyFont="1" applyFill="1" applyBorder="1" applyAlignment="1">
      <x:alignment vertical="center"/>
    </x:xf>
    <x:xf numFmtId="206" fontId="10" fillId="0" borderId="1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b042da8fa47af" /><Relationship Type="http://schemas.openxmlformats.org/officeDocument/2006/relationships/theme" Target="/xl/theme/theme1.xml" Id="Ra7f0e4e1400046b1" /><Relationship Type="http://schemas.openxmlformats.org/officeDocument/2006/relationships/sharedStrings" Target="/xl/sharedStrings.xml" Id="R9dd3cb0c42cb4b76" /><Relationship Type="http://schemas.openxmlformats.org/officeDocument/2006/relationships/worksheet" Target="/xl/worksheets/sheet1.xml" Id="R7622b1f7a85e42b0" /><Relationship Type="http://schemas.openxmlformats.org/officeDocument/2006/relationships/worksheet" Target="/xl/worksheets/sheet2.xml" Id="Rd866a0b164d145c0" /><Relationship Type="http://schemas.openxmlformats.org/officeDocument/2006/relationships/worksheet" Target="/xl/worksheets/sheet3.xml" Id="Re235e6d47fa84bd6" /><Relationship Type="http://schemas.openxmlformats.org/officeDocument/2006/relationships/worksheet" Target="/xl/worksheets/sheet4.xml" Id="Ref74e1010bc44ce6" /><Relationship Type="http://schemas.openxmlformats.org/officeDocument/2006/relationships/worksheet" Target="/xl/worksheets/sheet5.xml" Id="Rc7fb743bc4364df9" /><Relationship Type="http://schemas.openxmlformats.org/officeDocument/2006/relationships/worksheet" Target="/xl/worksheets/sheet6.xml" Id="R5776974e002f4ef5" /><Relationship Type="http://schemas.openxmlformats.org/officeDocument/2006/relationships/worksheet" Target="/xl/worksheets/sheet7.xml" Id="R0938fff8a82f44db" /><Relationship Type="http://schemas.openxmlformats.org/officeDocument/2006/relationships/worksheet" Target="/xl/worksheets/sheet8.xml" Id="R794daf42f0274b93" /><Relationship Type="http://schemas.openxmlformats.org/officeDocument/2006/relationships/worksheet" Target="/xl/worksheets/sheet9.xml" Id="R00f148a2f84540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ed4bc989ef4849" /><Relationship Type="http://schemas.openxmlformats.org/officeDocument/2006/relationships/chart" Target="/xl/drawings/charts/chart2.xml" Id="R93ba6d1b4c994e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PSY趋势（头/年母猪）</a:t>
            </a:r>
          </a:p>
        </c:rich>
      </c:tx>
    </c:title>
    <c:plotArea>
      <c:lineChart>
        <c:grouping val="standard"/>
        <c:ser>
          <c:idx val="0"/>
          <c:order val="0"/>
          <c:tx>
            <c:v>PSY</c:v>
          </c:tx>
          <c:spPr>
            <a:solidFill xmlns:a="http://schemas.openxmlformats.org/drawingml/2006/main">
              <a:srgbClr val="0F5B66"/>
            </a:solidFill>
          </c:spPr>
          <c:marker>
            <c:symbol val="none"/>
          </c:marker>
          <c:cat>
            <c:strRef>
              <c:f>'图表数据'!$A$5:$A$9</c:f>
              <c:strCache>
                <c:ptCount val="0"/>
              </c:strCache>
            </c:strRef>
          </c:cat>
          <c:val>
            <c:numRef>
              <c:f>'图表数据'!$B$5:$B$9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育肥校正日增重趋势（g/天）</a:t>
            </a:r>
          </a:p>
        </c:rich>
      </c:tx>
    </c:title>
    <c:plotArea>
      <c:lineChart>
        <c:grouping val="standard"/>
        <c:ser>
          <c:idx val="0"/>
          <c:order val="0"/>
          <c:tx>
            <c:v>育肥校正日增重</c:v>
          </c:tx>
          <c:spPr>
            <a:solidFill xmlns:a="http://schemas.openxmlformats.org/drawingml/2006/main">
              <a:srgbClr val="0F5B66"/>
            </a:solidFill>
          </c:spPr>
          <c:marker>
            <c:symbol val="none"/>
          </c:marker>
          <c:cat>
            <c:strRef>
              <c:f>'图表数据'!$A$5:$A$9</c:f>
              <c:strCache>
                <c:ptCount val="0"/>
              </c:strCache>
            </c:strRef>
          </c:cat>
          <c:val>
            <c:numRef>
              <c:f>'图表数据'!$C$5:$C$9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ed4bc989ef4849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ba6d1b4c994e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a05058d1a044e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6" hidden="0" customWidth="1"/>
    <x:col min="4" max="4" width="34" hidden="0" customWidth="1"/>
    <x:col min="5" max="5" width="22" hidden="0" customWidth="1"/>
  </x:cols>
  <x:sheetData>
    <x:row r="1" ht="30" customHeight="1">
      <x:c r="A1" s="76" t="str">
        <x:v>丹麦养猪生产成绩｜2025年全国基准与DanBred对照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54" t="str">
        <x:v>口径：SEGES Innovation 全国平均（2025年）与 DanBred 商业场样本（2024年）。数据不等同；FEsv 不是 kg 饲料/kg 增重。</x:v>
      </x:c>
      <x:c r="B2" s="53"/>
      <x:c r="C2" s="53"/>
      <x:c r="D2" s="53"/>
      <x:c r="E2" s="53"/>
      <x:c r="F2" s="53"/>
      <x:c r="G2" s="53"/>
      <x:c r="H2" s="53"/>
    </x:row>
    <x:row r="3">
      <x:c r="A3" s="53"/>
      <x:c r="B3" s="53"/>
      <x:c r="C3" s="53"/>
      <x:c r="D3" s="53"/>
      <x:c r="E3" s="53"/>
      <x:c r="F3" s="53"/>
      <x:c r="G3" s="53"/>
      <x:c r="H3" s="53"/>
    </x:row>
    <x:row r="4">
      <x:c r="A4" s="55" t="str">
        <x:v>结论（麦肯锡式：事实 → 含义 → 行动）</x:v>
      </x:c>
      <x:c r="B4" s="55" t="str"/>
      <x:c r="C4" s="55" t="str"/>
      <x:c r="D4" s="55" t="str"/>
      <x:c r="E4" s="55" t="str"/>
      <x:c r="F4" s="55" t="str"/>
      <x:c r="G4" s="55" t="str"/>
      <x:c r="H4" s="55" t="str"/>
    </x:row>
    <x:row r="5" ht="56" customHeight="1">
      <x:c r="A5" s="56" t="str">
        <x:v>1. 繁殖效率继续上行</x:v>
      </x:c>
      <x:c r="B5" s="57" t="str">
        <x:v>2021—2025年 PSY 从34.0升至36.9，增加2.9头；2025年同比+1.3头。</x:v>
      </x:c>
      <x:c r="C5" s="57" t="str">
        <x:v>增量主要来自窝均断奶数与仔猪成活改善，胎次维持2.24。</x:v>
      </x:c>
      <x:c r="D5" s="57" t="str">
        <x:v>把“每头母猪年断奶数、总仔猪死亡率、断奶重”作为联动KPI，避免只追求产仔数。</x:v>
      </x:c>
      <x:c r="E5" s="53"/>
      <x:c r="F5" s="53"/>
      <x:c r="G5" s="53"/>
      <x:c r="H5" s="53"/>
    </x:row>
    <x:row r="6" ht="56" customHeight="1">
      <x:c r="A6" s="56" t="str">
        <x:v>2. 育肥端效率改善更明确</x:v>
      </x:c>
      <x:c r="B6" s="57" t="str">
        <x:v>校正日增重5年增加66g/天；校正料肉比从2.66降至2.51 FEsv/kg。</x:v>
      </x:c>
      <x:c r="C6" s="57" t="str">
        <x:v>遗传、营养与管理共同推动单位增重能耗下降。</x:v>
      </x:c>
      <x:c r="D6" s="57" t="str">
        <x:v>与自有场比较时先统一体重段与能量体系；不要把FEsv直接当kg料肉比。</x:v>
      </x:c>
      <x:c r="E6" s="53"/>
      <x:c r="F6" s="53"/>
      <x:c r="G6" s="53"/>
      <x:c r="H6" s="53"/>
    </x:row>
    <x:row r="7" ht="56" customHeight="1">
      <x:c r="A7" s="56" t="str">
        <x:v>3. 高产与个体重量存在权衡</x:v>
      </x:c>
      <x:c r="B7" s="57" t="str">
        <x:v>前25%母猪场PSY 40.2，但断奶重5.9kg，低于后25%的6.7kg。</x:v>
      </x:c>
      <x:c r="C7" s="57" t="str">
        <x:v>高PSY并不自动代表更好的后续生产表现。</x:v>
      </x:c>
      <x:c r="D7" s="57" t="str">
        <x:v>建立“断奶头数＋断奶重＋保育死亡率”的三指标闸门。</x:v>
      </x:c>
      <x:c r="E7" s="53"/>
      <x:c r="F7" s="53"/>
      <x:c r="G7" s="53"/>
      <x:c r="H7" s="53"/>
    </x:row>
    <x:row r="8" ht="56" customHeight="1">
      <x:c r="A8" s="56" t="str">
        <x:v>4. 仍需关注健康与成活</x:v>
      </x:c>
      <x:c r="B8" s="57" t="str">
        <x:v>全国总仔猪死亡率仍为20.3%；母猪死亡/淘汰13.9%（生产系统口径）。</x:v>
      </x:c>
      <x:c r="C8" s="57" t="str">
        <x:v>效率进步没有消除围产期和母猪健康风险。</x:v>
      </x:c>
      <x:c r="D8" s="57" t="str">
        <x:v>将分娩舍存活、母猪死亡、返情率列入周度经营复盘。</x:v>
      </x:c>
      <x:c r="E8" s="53"/>
      <x:c r="F8" s="53"/>
      <x:c r="G8" s="53"/>
      <x:c r="H8" s="53"/>
    </x:row>
    <x:row r="9">
      <x:c r="A9" s="53"/>
      <x:c r="B9" s="53"/>
      <x:c r="C9" s="53"/>
      <x:c r="D9" s="53"/>
      <x:c r="E9" s="53"/>
      <x:c r="F9" s="53"/>
      <x:c r="G9" s="53"/>
      <x:c r="H9" s="53"/>
    </x:row>
    <x:row r="10">
      <x:c r="A10" s="58" t="str">
        <x:v>核心KPI（2025全国平均）</x:v>
      </x:c>
      <x:c r="B10" s="58"/>
      <x:c r="C10" s="58"/>
      <x:c r="D10" s="58"/>
      <x:c r="E10" s="58"/>
      <x:c r="F10" s="58"/>
      <x:c r="G10" s="58"/>
      <x:c r="H10" s="58"/>
    </x:row>
    <x:row r="11">
      <x:c r="A11" s="59" t="str">
        <x:v>指标</x:v>
      </x:c>
      <x:c r="B11" s="59" t="str">
        <x:v>2025</x:v>
      </x:c>
      <x:c r="C11" s="59" t="str">
        <x:v>2024</x:v>
      </x:c>
      <x:c r="D11" s="59" t="str">
        <x:v>同比</x:v>
      </x:c>
      <x:c r="E11" s="59" t="str">
        <x:v>管理含义</x:v>
      </x:c>
      <x:c r="F11" s="53"/>
      <x:c r="G11" s="53"/>
      <x:c r="H11" s="53"/>
    </x:row>
    <x:row r="12">
      <x:c r="A12" s="60" t="str">
        <x:v>PSY（头/年母猪）</x:v>
      </x:c>
      <x:c r="B12" s="61" t="n">
        <x:v>36.9</x:v>
      </x:c>
      <x:c r="C12" s="61" t="n">
        <x:v>35.6</x:v>
      </x:c>
      <x:c r="D12" s="62" t="n">
        <x:f>B12-C12</x:f>
        <x:v>1.2999999999999972</x:v>
      </x:c>
      <x:c r="E12" s="60" t="str">
        <x:v>繁殖端产出</x:v>
      </x:c>
      <x:c r="F12" s="53"/>
      <x:c r="G12" s="53"/>
      <x:c r="H12" s="53"/>
    </x:row>
    <x:row r="13">
      <x:c r="A13" s="60" t="str">
        <x:v>总仔猪死亡率</x:v>
      </x:c>
      <x:c r="B13" s="63" t="n">
        <x:v>0.203</x:v>
      </x:c>
      <x:c r="C13" s="63" t="n">
        <x:v>0.217</x:v>
      </x:c>
      <x:c r="D13" s="64" t="n">
        <x:f>B13-C13</x:f>
        <x:v>-0.013999999999999985</x:v>
      </x:c>
      <x:c r="E13" s="60" t="str">
        <x:v>围产与哺乳期健康</x:v>
      </x:c>
      <x:c r="F13" s="53"/>
      <x:c r="G13" s="53"/>
      <x:c r="H13" s="53"/>
    </x:row>
    <x:row r="14">
      <x:c r="A14" s="60" t="str">
        <x:v>保育校正日增重（g/天）</x:v>
      </x:c>
      <x:c r="B14" s="65" t="n">
        <x:v>469</x:v>
      </x:c>
      <x:c r="C14" s="65" t="n">
        <x:v>473</x:v>
      </x:c>
      <x:c r="D14" s="66" t="n">
        <x:f>B14-C14</x:f>
        <x:v>-4</x:v>
      </x:c>
      <x:c r="E14" s="60" t="str">
        <x:v>7–30kg生长</x:v>
      </x:c>
      <x:c r="F14" s="53"/>
      <x:c r="G14" s="53"/>
      <x:c r="H14" s="53"/>
    </x:row>
    <x:row r="15">
      <x:c r="A15" s="60" t="str">
        <x:v>保育校正料肉比（FEsv/kg）</x:v>
      </x:c>
      <x:c r="B15" s="65" t="n">
        <x:v>1.73</x:v>
      </x:c>
      <x:c r="C15" s="65" t="n">
        <x:v>1.74</x:v>
      </x:c>
      <x:c r="D15" s="65" t="n">
        <x:f>B15-C15</x:f>
        <x:v>-0.010000000000000009</x:v>
      </x:c>
      <x:c r="E15" s="60" t="str">
        <x:v>7–30kg能量效率</x:v>
      </x:c>
      <x:c r="F15" s="53"/>
      <x:c r="G15" s="53"/>
      <x:c r="H15" s="53"/>
    </x:row>
    <x:row r="16">
      <x:c r="A16" s="60" t="str">
        <x:v>育肥校正日增重（g/天）</x:v>
      </x:c>
      <x:c r="B16" s="67" t="n">
        <x:v>1094</x:v>
      </x:c>
      <x:c r="C16" s="67" t="n">
        <x:v>1076</x:v>
      </x:c>
      <x:c r="D16" s="68" t="n">
        <x:f>B16-C16</x:f>
        <x:v>18</x:v>
      </x:c>
      <x:c r="E16" s="60" t="str">
        <x:v>30–115kg生长</x:v>
      </x:c>
      <x:c r="F16" s="53"/>
      <x:c r="G16" s="53"/>
      <x:c r="H16" s="53"/>
    </x:row>
    <x:row r="17">
      <x:c r="A17" s="60" t="str">
        <x:v>育肥校正料肉比（FEsv/kg）</x:v>
      </x:c>
      <x:c r="B17" s="67" t="n">
        <x:v>2.51</x:v>
      </x:c>
      <x:c r="C17" s="67" t="n">
        <x:v>2.57</x:v>
      </x:c>
      <x:c r="D17" s="68" t="n">
        <x:f>B17-C17</x:f>
        <x:v>-0.06000000000000005</x:v>
      </x:c>
      <x:c r="E17" s="60" t="str">
        <x:v>30–115kg能量效率</x:v>
      </x:c>
      <x:c r="F17" s="53"/>
      <x:c r="G17" s="53"/>
      <x:c r="H17" s="53"/>
    </x:row>
    <x:row r="18">
      <x:c r="A18" s="53"/>
      <x:c r="B18" s="53"/>
      <x:c r="C18" s="53"/>
      <x:c r="D18" s="53"/>
      <x:c r="E18" s="53"/>
      <x:c r="F18" s="53"/>
      <x:c r="G18" s="53"/>
      <x:c r="H18" s="53"/>
    </x:row>
    <x:row r="19">
      <x:c r="A19" s="69" t="str">
        <x:v>重要口径提醒：全国平均来自703个母猪场、418个保育场、1,127个育肥场；DanBred商业场是筛选出的使用DanBred LY×Duroc遗传体系的场群。两类样本的选择规则、年份和统计方法不同，不能作为“品种优劣”的直接因果结论。</x:v>
      </x:c>
      <x:c r="B19" s="69"/>
      <x:c r="C19" s="69"/>
      <x:c r="D19" s="69"/>
      <x:c r="E19" s="69"/>
      <x:c r="F19" s="69"/>
      <x:c r="G19" s="69"/>
      <x:c r="H19" s="69"/>
    </x:row>
    <x:row r="20">
      <x:c r="A20" s="69"/>
      <x:c r="B20" s="69"/>
      <x:c r="C20" s="69"/>
      <x:c r="D20" s="69"/>
      <x:c r="E20" s="69"/>
      <x:c r="F20" s="69"/>
      <x:c r="G20" s="69"/>
      <x:c r="H20" s="69"/>
    </x:row>
    <x:row r="21">
      <x:c r="A21" s="69"/>
      <x:c r="B21" s="69"/>
      <x:c r="C21" s="69"/>
      <x:c r="D21" s="69"/>
      <x:c r="E21" s="69"/>
      <x:c r="F21" s="69"/>
      <x:c r="G21" s="69"/>
      <x:c r="H21" s="69"/>
    </x:row>
  </x:sheetData>
  <x:mergeCells>
    <x:mergeCell ref="A1:H1"/>
    <x:mergeCell ref="A2:H2"/>
    <x:mergeCell ref="A4:H4"/>
    <x:mergeCell ref="A10:H10"/>
    <x:mergeCell ref="A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32" hidden="0" customWidth="1"/>
  </x:cols>
  <x:sheetData>
    <x:row r="1" ht="30" customHeight="1">
      <x:c r="A1" s="76" t="str">
        <x:v>2025年丹麦全国养猪生产成绩</x:v>
      </x:c>
      <x:c r="B1" s="76"/>
      <x:c r="C1" s="76"/>
      <x:c r="D1" s="76"/>
      <x:c r="E1" s="76"/>
      <x:c r="F1" s="76"/>
    </x:row>
    <x:row r="2" ht="34" customHeight="1">
      <x:c r="A2" s="54" t="str">
        <x:v>与2024年相比；“变化”按数值差异显示，百分比指标为百分点。来源：SEGES Innovation Notat 2608（发布于2026-07-02）。</x:v>
      </x:c>
      <x:c r="B2" s="53"/>
      <x:c r="C2" s="53"/>
      <x:c r="D2" s="53"/>
      <x:c r="E2" s="53"/>
      <x:c r="F2" s="53"/>
    </x:row>
    <x:row r="3">
      <x:c r="A3" s="53"/>
      <x:c r="B3" s="53"/>
      <x:c r="C3" s="53"/>
      <x:c r="D3" s="53"/>
      <x:c r="E3" s="53"/>
      <x:c r="F3" s="53"/>
    </x:row>
    <x:row r="4">
      <x:c r="A4" s="58" t="str">
        <x:v>母猪繁殖成绩</x:v>
      </x:c>
      <x:c r="B4" s="58"/>
      <x:c r="C4" s="58"/>
      <x:c r="D4" s="58"/>
      <x:c r="E4" s="58"/>
      <x:c r="F4" s="58"/>
    </x:row>
    <x:row r="5">
      <x:c r="A5" s="59" t="str">
        <x:v>指标</x:v>
      </x:c>
      <x:c r="B5" s="59" t="str">
        <x:v>单位</x:v>
      </x:c>
      <x:c r="C5" s="59" t="str">
        <x:v>2025</x:v>
      </x:c>
      <x:c r="D5" s="59" t="str">
        <x:v>2024</x:v>
      </x:c>
      <x:c r="E5" s="59" t="str">
        <x:v>变化</x:v>
      </x:c>
      <x:c r="F5" s="59" t="str">
        <x:v>说明</x:v>
      </x:c>
    </x:row>
    <x:row r="6">
      <x:c r="A6" s="60" t="str">
        <x:v>窝均活仔数</x:v>
      </x:c>
      <x:c r="B6" s="60" t="str">
        <x:v>头</x:v>
      </x:c>
      <x:c r="C6" s="61" t="n">
        <x:v>18.9</x:v>
      </x:c>
      <x:c r="D6" s="61" t="n">
        <x:v>18.5</x:v>
      </x:c>
      <x:c r="E6" s="61" t="n">
        <x:f>C6-D6</x:f>
        <x:v>0.3999999999999986</x:v>
      </x:c>
      <x:c r="F6" s="60" t="str"/>
    </x:row>
    <x:row r="7">
      <x:c r="A7" s="60" t="str">
        <x:v>窝均死胎数</x:v>
      </x:c>
      <x:c r="B7" s="60" t="str">
        <x:v>头</x:v>
      </x:c>
      <x:c r="C7" s="61" t="n">
        <x:v>1.7</x:v>
      </x:c>
      <x:c r="D7" s="61" t="n">
        <x:v>1.8</x:v>
      </x:c>
      <x:c r="E7" s="61" t="n">
        <x:f>C7-D7</x:f>
        <x:v>-0.10000000000000009</x:v>
      </x:c>
      <x:c r="F7" s="60" t="str"/>
    </x:row>
    <x:row r="8">
      <x:c r="A8" s="60" t="str">
        <x:v>窝均总产仔数</x:v>
      </x:c>
      <x:c r="B8" s="60" t="str">
        <x:v>头</x:v>
      </x:c>
      <x:c r="C8" s="61" t="n">
        <x:v>20.6</x:v>
      </x:c>
      <x:c r="D8" s="61" t="n">
        <x:v>20.3</x:v>
      </x:c>
      <x:c r="E8" s="61" t="n">
        <x:f>C8-D8</x:f>
        <x:v>0.3000000000000007</x:v>
      </x:c>
      <x:c r="F8" s="60" t="str"/>
    </x:row>
    <x:row r="9">
      <x:c r="A9" s="60" t="str">
        <x:v>窝均断奶数</x:v>
      </x:c>
      <x:c r="B9" s="60" t="str">
        <x:v>头</x:v>
      </x:c>
      <x:c r="C9" s="61" t="n">
        <x:v>16.4</x:v>
      </x:c>
      <x:c r="D9" s="61" t="n">
        <x:v>15.9</x:v>
      </x:c>
      <x:c r="E9" s="61" t="n">
        <x:f>C9-D9</x:f>
        <x:v>0.4999999999999982</x:v>
      </x:c>
      <x:c r="F9" s="60" t="str"/>
    </x:row>
    <x:row r="10">
      <x:c r="A10" s="60" t="str">
        <x:v>母猪年产胎次</x:v>
      </x:c>
      <x:c r="B10" s="60" t="str">
        <x:v>胎</x:v>
      </x:c>
      <x:c r="C10" s="67" t="n">
        <x:v>2.24</x:v>
      </x:c>
      <x:c r="D10" s="67" t="n">
        <x:v>2.24</x:v>
      </x:c>
      <x:c r="E10" s="67" t="n">
        <x:f>C10-D10</x:f>
        <x:v>0</x:v>
      </x:c>
      <x:c r="F10" s="60" t="str"/>
    </x:row>
    <x:row r="11">
      <x:c r="A11" s="60" t="str">
        <x:v>PSY：年均断奶数</x:v>
      </x:c>
      <x:c r="B11" s="60" t="str">
        <x:v>头/年母猪</x:v>
      </x:c>
      <x:c r="C11" s="61" t="n">
        <x:v>36.9</x:v>
      </x:c>
      <x:c r="D11" s="61" t="n">
        <x:v>35.6</x:v>
      </x:c>
      <x:c r="E11" s="61" t="n">
        <x:f>C11-D11</x:f>
        <x:v>1.2999999999999972</x:v>
      </x:c>
      <x:c r="F11" s="60" t="str"/>
    </x:row>
    <x:row r="12">
      <x:c r="A12" s="60" t="str">
        <x:v>哺乳天数</x:v>
      </x:c>
      <x:c r="B12" s="60" t="str">
        <x:v>天</x:v>
      </x:c>
      <x:c r="C12" s="61" t="n">
        <x:v>31</x:v>
      </x:c>
      <x:c r="D12" s="61" t="n">
        <x:v>31</x:v>
      </x:c>
      <x:c r="E12" s="61" t="n">
        <x:f>C12-D12</x:f>
        <x:v>0</x:v>
      </x:c>
      <x:c r="F12" s="60" t="str"/>
    </x:row>
    <x:row r="13">
      <x:c r="A13" s="60" t="str">
        <x:v>断奶均重</x:v>
      </x:c>
      <x:c r="B13" s="60" t="str">
        <x:v>kg</x:v>
      </x:c>
      <x:c r="C13" s="61" t="n">
        <x:v>6.2</x:v>
      </x:c>
      <x:c r="D13" s="61" t="n">
        <x:v>6.2</x:v>
      </x:c>
      <x:c r="E13" s="61" t="n">
        <x:f>C13-D13</x:f>
        <x:v>0</x:v>
      </x:c>
      <x:c r="F13" s="60" t="str"/>
    </x:row>
    <x:row r="14">
      <x:c r="A14" s="60" t="str">
        <x:v>出生至断奶死亡率</x:v>
      </x:c>
      <x:c r="B14" s="60" t="str">
        <x:v>%</x:v>
      </x:c>
      <x:c r="C14" s="63" t="n">
        <x:v>0.131</x:v>
      </x:c>
      <x:c r="D14" s="63" t="n">
        <x:v>0.141</x:v>
      </x:c>
      <x:c r="E14" s="63" t="n">
        <x:f>C14-D14</x:f>
        <x:v>-0.009999999999999981</x:v>
      </x:c>
      <x:c r="F14" s="60" t="str">
        <x:v>百分点</x:v>
      </x:c>
    </x:row>
    <x:row r="15">
      <x:c r="A15" s="60" t="str">
        <x:v>总仔猪死亡率</x:v>
      </x:c>
      <x:c r="B15" s="60" t="str">
        <x:v>%</x:v>
      </x:c>
      <x:c r="C15" s="63" t="n">
        <x:v>0.203</x:v>
      </x:c>
      <x:c r="D15" s="63" t="n">
        <x:v>0.217</x:v>
      </x:c>
      <x:c r="E15" s="63" t="n">
        <x:f>C15-D15</x:f>
        <x:v>-0.013999999999999985</x:v>
      </x:c>
      <x:c r="F15" s="60" t="str">
        <x:v>百分点</x:v>
      </x:c>
    </x:row>
    <x:row r="16">
      <x:c r="A16" s="60" t="str">
        <x:v>分娩率</x:v>
      </x:c>
      <x:c r="B16" s="60" t="str">
        <x:v>%</x:v>
      </x:c>
      <x:c r="C16" s="63" t="n">
        <x:v>0.882</x:v>
      </x:c>
      <x:c r="D16" s="63" t="n">
        <x:v>0.876</x:v>
      </x:c>
      <x:c r="E16" s="63" t="n">
        <x:f>C16-D16</x:f>
        <x:v>0.006000000000000005</x:v>
      </x:c>
      <x:c r="F16" s="60" t="str">
        <x:v>百分点</x:v>
      </x:c>
    </x:row>
    <x:row r="17">
      <x:c r="A17" s="60" t="str">
        <x:v>返情率</x:v>
      </x:c>
      <x:c r="B17" s="60" t="str">
        <x:v>%</x:v>
      </x:c>
      <x:c r="C17" s="61" t="n">
        <x:v>0.046</x:v>
      </x:c>
      <x:c r="D17" s="61" t="n">
        <x:v>0.051</x:v>
      </x:c>
      <x:c r="E17" s="61" t="n">
        <x:f>C17-D17</x:f>
        <x:v>-0.0049999999999999975</x:v>
      </x:c>
      <x:c r="F17" s="60" t="str">
        <x:v>百分点</x:v>
      </x:c>
    </x:row>
    <x:row r="18">
      <x:c r="A18" s="60" t="str">
        <x:v>断奶至首次配种</x:v>
      </x:c>
      <x:c r="B18" s="60" t="str">
        <x:v>天</x:v>
      </x:c>
      <x:c r="C18" s="61" t="n">
        <x:v>6.2</x:v>
      </x:c>
      <x:c r="D18" s="61" t="n">
        <x:v>6.2</x:v>
      </x:c>
      <x:c r="E18" s="61" t="n">
        <x:f>C18-D18</x:f>
        <x:v>0</x:v>
      </x:c>
      <x:c r="F18" s="60" t="str"/>
    </x:row>
    <x:row r="19">
      <x:c r="A19" s="60" t="str">
        <x:v>非生产天数/胎</x:v>
      </x:c>
      <x:c r="B19" s="60" t="str">
        <x:v>天</x:v>
      </x:c>
      <x:c r="C19" s="61" t="n">
        <x:v>14.2</x:v>
      </x:c>
      <x:c r="D19" s="61" t="n">
        <x:v>14.8</x:v>
      </x:c>
      <x:c r="E19" s="61" t="n">
        <x:f>C19-D19</x:f>
        <x:v>-0.6000000000000014</x:v>
      </x:c>
      <x:c r="F19" s="60" t="str"/>
    </x:row>
    <x:row r="20">
      <x:c r="A20" s="60" t="str">
        <x:v>母猪死亡淘汰率*</x:v>
      </x:c>
      <x:c r="B20" s="60" t="str">
        <x:v>%</x:v>
      </x:c>
      <x:c r="C20" s="61" t="n">
        <x:v>0.139</x:v>
      </x:c>
      <x:c r="D20" s="61" t="n">
        <x:v>0.144</x:v>
      </x:c>
      <x:c r="E20" s="61" t="n">
        <x:f>C20-D20</x:f>
        <x:v>-0.004999999999999977</x:v>
      </x:c>
      <x:c r="F20" s="60" t="str">
        <x:v>生产系统口径；非DAKA口径</x:v>
      </x:c>
    </x:row>
    <x:row r="21">
      <x:c r="A21" s="60" t="str">
        <x:v>母猪年耗料</x:v>
      </x:c>
      <x:c r="B21" s="60" t="str">
        <x:v>FE/头</x:v>
      </x:c>
      <x:c r="C21" s="61" t="n">
        <x:v>1531</x:v>
      </x:c>
      <x:c r="D21" s="61" t="n">
        <x:v>1538</x:v>
      </x:c>
      <x:c r="E21" s="61" t="n">
        <x:f>C21-D21</x:f>
        <x:v>-7</x:v>
      </x:c>
      <x:c r="F21" s="60" t="str"/>
    </x:row>
    <x:row r="22">
      <x:c r="A22" s="53"/>
      <x:c r="B22" s="53"/>
      <x:c r="C22" s="53"/>
      <x:c r="D22" s="53"/>
      <x:c r="E22" s="53"/>
      <x:c r="F22" s="53"/>
    </x:row>
    <x:row r="23">
      <x:c r="A23" s="58" t="str">
        <x:v>7–30kg 保育猪成绩</x:v>
      </x:c>
      <x:c r="B23" s="58"/>
      <x:c r="C23" s="58"/>
      <x:c r="D23" s="58"/>
      <x:c r="E23" s="58"/>
      <x:c r="F23" s="58"/>
    </x:row>
    <x:row r="24">
      <x:c r="A24" s="59" t="str">
        <x:v>指标</x:v>
      </x:c>
      <x:c r="B24" s="59" t="str">
        <x:v>单位</x:v>
      </x:c>
      <x:c r="C24" s="59" t="str">
        <x:v>2025</x:v>
      </x:c>
      <x:c r="D24" s="59" t="str">
        <x:v>2024</x:v>
      </x:c>
      <x:c r="E24" s="59" t="str">
        <x:v>变化</x:v>
      </x:c>
      <x:c r="F24" s="59" t="str">
        <x:v>说明</x:v>
      </x:c>
    </x:row>
    <x:row r="25">
      <x:c r="A25" s="60" t="str">
        <x:v>入栏体重</x:v>
      </x:c>
      <x:c r="B25" s="60" t="str">
        <x:v>kg</x:v>
      </x:c>
      <x:c r="C25" s="67" t="n">
        <x:v>6.3</x:v>
      </x:c>
      <x:c r="D25" s="67" t="n">
        <x:v>6.3</x:v>
      </x:c>
      <x:c r="E25" s="67" t="n">
        <x:f>C25-D25</x:f>
        <x:v>0</x:v>
      </x:c>
      <x:c r="F25" s="60" t="str"/>
    </x:row>
    <x:row r="26">
      <x:c r="A26" s="60" t="str">
        <x:v>出栏体重</x:v>
      </x:c>
      <x:c r="B26" s="60" t="str">
        <x:v>kg</x:v>
      </x:c>
      <x:c r="C26" s="67" t="n">
        <x:v>29.8</x:v>
      </x:c>
      <x:c r="D26" s="67" t="n">
        <x:v>30.1</x:v>
      </x:c>
      <x:c r="E26" s="67" t="n">
        <x:f>C26-D26</x:f>
        <x:v>-0.3000000000000007</x:v>
      </x:c>
      <x:c r="F26" s="60" t="str"/>
    </x:row>
    <x:row r="27">
      <x:c r="A27" s="60" t="str">
        <x:v>实际日增重</x:v>
      </x:c>
      <x:c r="B27" s="60" t="str">
        <x:v>g/天</x:v>
      </x:c>
      <x:c r="C27" s="65" t="n">
        <x:v>456</x:v>
      </x:c>
      <x:c r="D27" s="65" t="n">
        <x:v>461</x:v>
      </x:c>
      <x:c r="E27" s="65" t="n">
        <x:f>C27-D27</x:f>
        <x:v>-5</x:v>
      </x:c>
      <x:c r="F27" s="60" t="str"/>
    </x:row>
    <x:row r="28">
      <x:c r="A28" s="60" t="str">
        <x:v>校正日增重（7–30kg）</x:v>
      </x:c>
      <x:c r="B28" s="60" t="str">
        <x:v>g/天</x:v>
      </x:c>
      <x:c r="C28" s="65" t="n">
        <x:v>469</x:v>
      </x:c>
      <x:c r="D28" s="65" t="n">
        <x:v>473</x:v>
      </x:c>
      <x:c r="E28" s="65" t="n">
        <x:f>C28-D28</x:f>
        <x:v>-4</x:v>
      </x:c>
      <x:c r="F28" s="60" t="str">
        <x:v>参考标准体重段</x:v>
      </x:c>
    </x:row>
    <x:row r="29">
      <x:c r="A29" s="60" t="str">
        <x:v>实际料肉比</x:v>
      </x:c>
      <x:c r="B29" s="60" t="str">
        <x:v>FEsv/kg</x:v>
      </x:c>
      <x:c r="C29" s="67" t="n">
        <x:v>1.72</x:v>
      </x:c>
      <x:c r="D29" s="67" t="n">
        <x:v>1.74</x:v>
      </x:c>
      <x:c r="E29" s="67" t="n">
        <x:f>C29-D29</x:f>
        <x:v>-0.020000000000000018</x:v>
      </x:c>
      <x:c r="F29" s="60" t="str"/>
    </x:row>
    <x:row r="30">
      <x:c r="A30" s="60" t="str">
        <x:v>校正料肉比</x:v>
      </x:c>
      <x:c r="B30" s="60" t="str">
        <x:v>FEsv/kg</x:v>
      </x:c>
      <x:c r="C30" s="67" t="n">
        <x:v>1.73</x:v>
      </x:c>
      <x:c r="D30" s="67" t="n">
        <x:v>1.74</x:v>
      </x:c>
      <x:c r="E30" s="67" t="n">
        <x:f>C30-D30</x:f>
        <x:v>-0.010000000000000009</x:v>
      </x:c>
      <x:c r="F30" s="60" t="str">
        <x:v>参考标准体重段</x:v>
      </x:c>
    </x:row>
    <x:row r="31">
      <x:c r="A31" s="60" t="str">
        <x:v>死亡率</x:v>
      </x:c>
      <x:c r="B31" s="60" t="str">
        <x:v>%</x:v>
      </x:c>
      <x:c r="C31" s="63" t="n">
        <x:v>0.039</x:v>
      </x:c>
      <x:c r="D31" s="63" t="n">
        <x:v>0.039</x:v>
      </x:c>
      <x:c r="E31" s="63" t="n">
        <x:f>C31-D31</x:f>
        <x:v>0</x:v>
      </x:c>
      <x:c r="F31" s="60" t="str"/>
    </x:row>
    <x:row r="32">
      <x:c r="A32" s="60" t="str">
        <x:v>单场年均生产量</x:v>
      </x:c>
      <x:c r="B32" s="60" t="str">
        <x:v>头</x:v>
      </x:c>
      <x:c r="C32" s="70" t="n">
        <x:v>32256</x:v>
      </x:c>
      <x:c r="D32" s="70" t="n">
        <x:v>29891</x:v>
      </x:c>
      <x:c r="E32" s="70" t="n">
        <x:f>C32-D32</x:f>
        <x:v>2365</x:v>
      </x:c>
      <x:c r="F32" s="60" t="str"/>
    </x:row>
    <x:row r="33">
      <x:c r="A33" s="53"/>
      <x:c r="B33" s="53"/>
      <x:c r="C33" s="53"/>
      <x:c r="D33" s="53"/>
      <x:c r="E33" s="53"/>
      <x:c r="F33" s="53"/>
    </x:row>
    <x:row r="34">
      <x:c r="A34" s="58" t="str">
        <x:v>30–115kg 育肥猪成绩</x:v>
      </x:c>
      <x:c r="B34" s="58"/>
      <x:c r="C34" s="58"/>
      <x:c r="D34" s="58"/>
      <x:c r="E34" s="58"/>
      <x:c r="F34" s="58"/>
    </x:row>
    <x:row r="35">
      <x:c r="A35" s="59" t="str">
        <x:v>指标</x:v>
      </x:c>
      <x:c r="B35" s="59" t="str">
        <x:v>单位</x:v>
      </x:c>
      <x:c r="C35" s="59" t="str">
        <x:v>2025</x:v>
      </x:c>
      <x:c r="D35" s="59" t="str">
        <x:v>2024</x:v>
      </x:c>
      <x:c r="E35" s="59" t="str">
        <x:v>变化</x:v>
      </x:c>
      <x:c r="F35" s="59" t="str">
        <x:v>说明</x:v>
      </x:c>
    </x:row>
    <x:row r="36">
      <x:c r="A36" s="60" t="str">
        <x:v>入栏体重</x:v>
      </x:c>
      <x:c r="B36" s="60" t="str">
        <x:v>kg</x:v>
      </x:c>
      <x:c r="C36" s="67" t="n">
        <x:v>30.7</x:v>
      </x:c>
      <x:c r="D36" s="67" t="n">
        <x:v>30.7</x:v>
      </x:c>
      <x:c r="E36" s="67" t="n">
        <x:f>C36-D36</x:f>
        <x:v>0</x:v>
      </x:c>
      <x:c r="F36" s="60" t="str"/>
    </x:row>
    <x:row r="37">
      <x:c r="A37" s="60" t="str">
        <x:v>平均胴体重</x:v>
      </x:c>
      <x:c r="B37" s="60" t="str">
        <x:v>kg</x:v>
      </x:c>
      <x:c r="C37" s="67" t="n">
        <x:v>92.3</x:v>
      </x:c>
      <x:c r="D37" s="67" t="n">
        <x:v>90.6</x:v>
      </x:c>
      <x:c r="E37" s="67" t="n">
        <x:f>C37-D37</x:f>
        <x:v>1.7000000000000028</x:v>
      </x:c>
      <x:c r="F37" s="60" t="str"/>
    </x:row>
    <x:row r="38">
      <x:c r="A38" s="60" t="str">
        <x:v>实际日增重</x:v>
      </x:c>
      <x:c r="B38" s="60" t="str">
        <x:v>g/天</x:v>
      </x:c>
      <x:c r="C38" s="65" t="n">
        <x:v>1095</x:v>
      </x:c>
      <x:c r="D38" s="65" t="n">
        <x:v>1077</x:v>
      </x:c>
      <x:c r="E38" s="65" t="n">
        <x:f>C38-D38</x:f>
        <x:v>18</x:v>
      </x:c>
      <x:c r="F38" s="60" t="str"/>
    </x:row>
    <x:row r="39">
      <x:c r="A39" s="60" t="str">
        <x:v>校正日增重（30–115kg）</x:v>
      </x:c>
      <x:c r="B39" s="60" t="str">
        <x:v>g/天</x:v>
      </x:c>
      <x:c r="C39" s="65" t="n">
        <x:v>1094</x:v>
      </x:c>
      <x:c r="D39" s="65" t="n">
        <x:v>1076</x:v>
      </x:c>
      <x:c r="E39" s="65" t="n">
        <x:f>C39-D39</x:f>
        <x:v>18</x:v>
      </x:c>
      <x:c r="F39" s="60" t="str">
        <x:v>参考标准体重段</x:v>
      </x:c>
    </x:row>
    <x:row r="40">
      <x:c r="A40" s="60" t="str">
        <x:v>实际料肉比</x:v>
      </x:c>
      <x:c r="B40" s="60" t="str">
        <x:v>FEsv/kg</x:v>
      </x:c>
      <x:c r="C40" s="67" t="n">
        <x:v>2.56</x:v>
      </x:c>
      <x:c r="D40" s="67" t="n">
        <x:v>2.61</x:v>
      </x:c>
      <x:c r="E40" s="67" t="n">
        <x:f>C40-D40</x:f>
        <x:v>-0.04999999999999982</x:v>
      </x:c>
      <x:c r="F40" s="60" t="str"/>
    </x:row>
    <x:row r="41">
      <x:c r="A41" s="60" t="str">
        <x:v>校正料肉比</x:v>
      </x:c>
      <x:c r="B41" s="60" t="str">
        <x:v>FEsv/kg</x:v>
      </x:c>
      <x:c r="C41" s="67" t="n">
        <x:v>2.51</x:v>
      </x:c>
      <x:c r="D41" s="67" t="n">
        <x:v>2.57</x:v>
      </x:c>
      <x:c r="E41" s="67" t="n">
        <x:f>C41-D41</x:f>
        <x:v>-0.06000000000000005</x:v>
      </x:c>
      <x:c r="F41" s="60" t="str">
        <x:v>参考标准体重段</x:v>
      </x:c>
    </x:row>
    <x:row r="42">
      <x:c r="A42" s="60" t="str">
        <x:v>日采食量</x:v>
      </x:c>
      <x:c r="B42" s="60" t="str">
        <x:v>FEsv/天</x:v>
      </x:c>
      <x:c r="C42" s="67" t="n">
        <x:v>2.8</x:v>
      </x:c>
      <x:c r="D42" s="67" t="n">
        <x:v>2.79</x:v>
      </x:c>
      <x:c r="E42" s="67" t="n">
        <x:f>C42-D42</x:f>
        <x:v>0.009999999999999787</x:v>
      </x:c>
      <x:c r="F42" s="60" t="str"/>
    </x:row>
    <x:row r="43">
      <x:c r="A43" s="60" t="str">
        <x:v>瘦肉率</x:v>
      </x:c>
      <x:c r="B43" s="60" t="str">
        <x:v>%</x:v>
      </x:c>
      <x:c r="C43" s="63" t="n">
        <x:v>0.596</x:v>
      </x:c>
      <x:c r="D43" s="63" t="n">
        <x:v>0.595</x:v>
      </x:c>
      <x:c r="E43" s="63" t="n">
        <x:f>C43-D43</x:f>
        <x:v>0.0010000000000000009</x:v>
      </x:c>
      <x:c r="F43" s="60" t="str">
        <x:v>百分点</x:v>
      </x:c>
    </x:row>
    <x:row r="44">
      <x:c r="A44" s="60" t="str">
        <x:v>死亡及废弃率</x:v>
      </x:c>
      <x:c r="B44" s="60" t="str">
        <x:v>%</x:v>
      </x:c>
      <x:c r="C44" s="63" t="n">
        <x:v>0.035</x:v>
      </x:c>
      <x:c r="D44" s="63" t="n">
        <x:v>0.034</x:v>
      </x:c>
      <x:c r="E44" s="63" t="n">
        <x:f>C44-D44</x:f>
        <x:v>0.0010000000000000009</x:v>
      </x:c>
      <x:c r="F44" s="60" t="str">
        <x:v>百分点</x:v>
      </x:c>
    </x:row>
    <x:row r="45">
      <x:c r="A45" s="60" t="str">
        <x:v>单场年均生产量</x:v>
      </x:c>
      <x:c r="B45" s="60" t="str">
        <x:v>头</x:v>
      </x:c>
      <x:c r="C45" s="70" t="n">
        <x:v>10101</x:v>
      </x:c>
      <x:c r="D45" s="70" t="n">
        <x:v>8451</x:v>
      </x:c>
      <x:c r="E45" s="70" t="n">
        <x:f>C45-D45</x:f>
        <x:v>1650</x:v>
      </x:c>
      <x:c r="F45" s="60" t="str"/>
    </x:row>
    <x:row r="46">
      <x:c r="A46" s="53"/>
      <x:c r="B46" s="53"/>
      <x:c r="C46" s="53"/>
      <x:c r="D46" s="53"/>
      <x:c r="E46" s="53"/>
      <x:c r="F46" s="53"/>
    </x:row>
    <x:row r="47">
      <x:c r="A47" s="69" t="str">
        <x:v>样本量：703个母猪场，约62.74万头年均母猪、约2,310万头断奶仔猪；418个保育场、约1,350万头保育猪；1,127个育肥场、约1,140万头育肥猪。母猪死亡率另有DAKA无害化处理及生猪流动数据库口径（约15.6%），不可与13.9%直接混用。</x:v>
      </x:c>
      <x:c r="B47" s="69"/>
      <x:c r="C47" s="69"/>
      <x:c r="D47" s="69"/>
      <x:c r="E47" s="69"/>
      <x:c r="F47" s="69"/>
    </x:row>
    <x:row r="48">
      <x:c r="A48" s="69"/>
      <x:c r="B48" s="69"/>
      <x:c r="C48" s="69"/>
      <x:c r="D48" s="69"/>
      <x:c r="E48" s="69"/>
      <x:c r="F48" s="69"/>
    </x:row>
    <x:row r="49">
      <x:c r="A49" s="69"/>
      <x:c r="B49" s="69"/>
      <x:c r="C49" s="69"/>
      <x:c r="D49" s="69"/>
      <x:c r="E49" s="69"/>
      <x:c r="F49" s="69"/>
    </x:row>
  </x:sheetData>
  <x:mergeCells>
    <x:mergeCell ref="A1:F1"/>
    <x:mergeCell ref="A2:F2"/>
    <x:mergeCell ref="A4:F4"/>
    <x:mergeCell ref="A23:F23"/>
    <x:mergeCell ref="A34:F34"/>
    <x:mergeCell ref="A47:F4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0" customHeight="1">
      <x:c r="A1" s="76" t="str">
        <x:v>丹麦近5年生产成绩趋势（2021—2025）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</x:row>
    <x:row r="2" ht="34" customHeight="1">
      <x:c r="A2" s="54" t="str">
        <x:v>所有数据为全国平均。图表直接引用下方表格，更新表格数值后图表可同步变化。</x:v>
      </x:c>
      <x:c r="B2" s="53"/>
      <x:c r="C2" s="53"/>
      <x:c r="D2" s="53"/>
      <x:c r="E2" s="53"/>
      <x:c r="F2" s="53"/>
      <x:c r="G2" s="53"/>
      <x:c r="H2" s="53"/>
    </x:row>
    <x:row r="3">
      <x:c r="A3" s="53"/>
      <x:c r="B3" s="53"/>
      <x:c r="C3" s="53"/>
      <x:c r="D3" s="53"/>
      <x:c r="E3" s="53"/>
      <x:c r="F3" s="53"/>
      <x:c r="G3" s="53"/>
      <x:c r="H3" s="53"/>
    </x:row>
    <x:row r="4">
      <x:c r="A4" s="58" t="str">
        <x:v>母猪繁殖</x:v>
      </x:c>
      <x:c r="B4" s="58"/>
      <x:c r="C4" s="58"/>
      <x:c r="D4" s="58"/>
      <x:c r="E4" s="58"/>
      <x:c r="F4" s="58"/>
      <x:c r="G4" s="58"/>
      <x:c r="H4" s="58"/>
    </x:row>
    <x:row r="5">
      <x:c r="A5" s="59" t="str">
        <x:v>指标</x:v>
      </x:c>
      <x:c r="B5" s="59" t="str">
        <x:v>2021</x:v>
      </x:c>
      <x:c r="C5" s="59" t="str">
        <x:v>2022</x:v>
      </x:c>
      <x:c r="D5" s="59" t="str">
        <x:v>2023</x:v>
      </x:c>
      <x:c r="E5" s="59" t="str">
        <x:v>2024</x:v>
      </x:c>
      <x:c r="F5" s="59" t="str">
        <x:v>2025</x:v>
      </x:c>
      <x:c r="G5" s="53"/>
      <x:c r="H5" s="53"/>
    </x:row>
    <x:row r="6">
      <x:c r="A6" s="60" t="str">
        <x:v>窝均活仔数</x:v>
      </x:c>
      <x:c r="B6" s="67" t="n">
        <x:v>17.9</x:v>
      </x:c>
      <x:c r="C6" s="67" t="n">
        <x:v>18</x:v>
      </x:c>
      <x:c r="D6" s="67" t="n">
        <x:v>18.2</x:v>
      </x:c>
      <x:c r="E6" s="67" t="n">
        <x:v>18.5</x:v>
      </x:c>
      <x:c r="F6" s="67" t="n">
        <x:v>18.9</x:v>
      </x:c>
      <x:c r="G6" s="53"/>
      <x:c r="H6" s="53"/>
    </x:row>
    <x:row r="7">
      <x:c r="A7" s="60" t="str">
        <x:v>窝均断奶数</x:v>
      </x:c>
      <x:c r="B7" s="67" t="n">
        <x:v>15.1</x:v>
      </x:c>
      <x:c r="C7" s="67" t="n">
        <x:v>15.3</x:v>
      </x:c>
      <x:c r="D7" s="67" t="n">
        <x:v>15.6</x:v>
      </x:c>
      <x:c r="E7" s="67" t="n">
        <x:v>15.9</x:v>
      </x:c>
      <x:c r="F7" s="67" t="n">
        <x:v>16.4</x:v>
      </x:c>
      <x:c r="G7" s="53"/>
      <x:c r="H7" s="53"/>
    </x:row>
    <x:row r="8">
      <x:c r="A8" s="60" t="str">
        <x:v>PSY</x:v>
      </x:c>
      <x:c r="B8" s="67" t="n">
        <x:v>34</x:v>
      </x:c>
      <x:c r="C8" s="67" t="n">
        <x:v>34.1</x:v>
      </x:c>
      <x:c r="D8" s="67" t="n">
        <x:v>34.8</x:v>
      </x:c>
      <x:c r="E8" s="67" t="n">
        <x:v>35.6</x:v>
      </x:c>
      <x:c r="F8" s="67" t="n">
        <x:v>36.9</x:v>
      </x:c>
      <x:c r="G8" s="53"/>
      <x:c r="H8" s="53"/>
    </x:row>
    <x:row r="9">
      <x:c r="A9" s="60" t="str">
        <x:v>年产胎次</x:v>
      </x:c>
      <x:c r="B9" s="67" t="n">
        <x:v>2.24</x:v>
      </x:c>
      <x:c r="C9" s="67" t="n">
        <x:v>2.23</x:v>
      </x:c>
      <x:c r="D9" s="67" t="n">
        <x:v>2.23</x:v>
      </x:c>
      <x:c r="E9" s="67" t="n">
        <x:v>2.24</x:v>
      </x:c>
      <x:c r="F9" s="67" t="n">
        <x:v>2.24</x:v>
      </x:c>
      <x:c r="G9" s="53"/>
      <x:c r="H9" s="53"/>
    </x:row>
    <x:row r="10">
      <x:c r="A10" s="60" t="str">
        <x:v>分娩率</x:v>
      </x:c>
      <x:c r="B10" s="63" t="n">
        <x:v>0.873</x:v>
      </x:c>
      <x:c r="C10" s="63" t="n">
        <x:v>0.873</x:v>
      </x:c>
      <x:c r="D10" s="63" t="n">
        <x:v>0.875</x:v>
      </x:c>
      <x:c r="E10" s="63" t="n">
        <x:v>0.876</x:v>
      </x:c>
      <x:c r="F10" s="63" t="n">
        <x:v>0.882</x:v>
      </x:c>
      <x:c r="G10" s="53"/>
      <x:c r="H10" s="53"/>
    </x:row>
    <x:row r="11">
      <x:c r="A11" s="60" t="str">
        <x:v>总仔猪死亡率</x:v>
      </x:c>
      <x:c r="B11" s="63" t="n">
        <x:v>0.234</x:v>
      </x:c>
      <x:c r="C11" s="63" t="n">
        <x:v>0.233</x:v>
      </x:c>
      <x:c r="D11" s="63" t="n">
        <x:v>0.224</x:v>
      </x:c>
      <x:c r="E11" s="63" t="n">
        <x:v>0.217</x:v>
      </x:c>
      <x:c r="F11" s="63" t="n">
        <x:v>0.203</x:v>
      </x:c>
      <x:c r="G11" s="53"/>
      <x:c r="H11" s="53"/>
    </x:row>
    <x:row r="12">
      <x:c r="A12" s="60" t="str">
        <x:v>断奶均重（kg）</x:v>
      </x:c>
      <x:c r="B12" s="61" t="n">
        <x:v>6.4</x:v>
      </x:c>
      <x:c r="C12" s="61" t="n">
        <x:v>6.3</x:v>
      </x:c>
      <x:c r="D12" s="61" t="n">
        <x:v>6.3</x:v>
      </x:c>
      <x:c r="E12" s="61" t="n">
        <x:v>6.2</x:v>
      </x:c>
      <x:c r="F12" s="61" t="n">
        <x:v>6.2</x:v>
      </x:c>
      <x:c r="G12" s="53"/>
      <x:c r="H12" s="53"/>
    </x:row>
    <x:row r="13">
      <x:c r="A13" s="53"/>
      <x:c r="B13" s="53"/>
      <x:c r="C13" s="53"/>
      <x:c r="D13" s="53"/>
      <x:c r="E13" s="53"/>
      <x:c r="F13" s="53"/>
      <x:c r="G13" s="53"/>
      <x:c r="H13" s="53"/>
    </x:row>
    <x:row r="14">
      <x:c r="A14" s="58" t="str">
        <x:v>保育与育肥</x:v>
      </x:c>
      <x:c r="B14" s="58"/>
      <x:c r="C14" s="58"/>
      <x:c r="D14" s="58"/>
      <x:c r="E14" s="58"/>
      <x:c r="F14" s="58"/>
      <x:c r="G14" s="53"/>
      <x:c r="H14" s="53"/>
    </x:row>
    <x:row r="15">
      <x:c r="A15" s="59" t="str">
        <x:v>指标</x:v>
      </x:c>
      <x:c r="B15" s="59" t="str">
        <x:v>2021</x:v>
      </x:c>
      <x:c r="C15" s="59" t="str">
        <x:v>2022</x:v>
      </x:c>
      <x:c r="D15" s="59" t="str">
        <x:v>2023</x:v>
      </x:c>
      <x:c r="E15" s="59" t="str">
        <x:v>2024</x:v>
      </x:c>
      <x:c r="F15" s="59" t="str">
        <x:v>2025</x:v>
      </x:c>
      <x:c r="G15" s="53"/>
      <x:c r="H15" s="53"/>
    </x:row>
    <x:row r="16">
      <x:c r="A16" s="60" t="str">
        <x:v>保育校正日增重（g/天）</x:v>
      </x:c>
      <x:c r="B16" s="65" t="n">
        <x:v>464</x:v>
      </x:c>
      <x:c r="C16" s="65" t="n">
        <x:v>465</x:v>
      </x:c>
      <x:c r="D16" s="65" t="n">
        <x:v>467</x:v>
      </x:c>
      <x:c r="E16" s="65" t="n">
        <x:v>473</x:v>
      </x:c>
      <x:c r="F16" s="65" t="n">
        <x:v>469</x:v>
      </x:c>
      <x:c r="G16" s="53"/>
      <x:c r="H16" s="53"/>
    </x:row>
    <x:row r="17">
      <x:c r="A17" s="60" t="str">
        <x:v>保育校正料肉比（FEsv/kg）</x:v>
      </x:c>
      <x:c r="B17" s="67" t="n">
        <x:v>1.81</x:v>
      </x:c>
      <x:c r="C17" s="67" t="n">
        <x:v>1.77</x:v>
      </x:c>
      <x:c r="D17" s="67" t="n">
        <x:v>1.76</x:v>
      </x:c>
      <x:c r="E17" s="67" t="n">
        <x:v>1.74</x:v>
      </x:c>
      <x:c r="F17" s="67" t="n">
        <x:v>1.73</x:v>
      </x:c>
      <x:c r="G17" s="53"/>
      <x:c r="H17" s="53"/>
    </x:row>
    <x:row r="18">
      <x:c r="A18" s="60" t="str">
        <x:v>保育死亡率</x:v>
      </x:c>
      <x:c r="B18" s="63" t="n">
        <x:v>0.039</x:v>
      </x:c>
      <x:c r="C18" s="63" t="n">
        <x:v>0.043</x:v>
      </x:c>
      <x:c r="D18" s="63" t="n">
        <x:v>0.041</x:v>
      </x:c>
      <x:c r="E18" s="63" t="n">
        <x:v>0.039</x:v>
      </x:c>
      <x:c r="F18" s="63" t="n">
        <x:v>0.039</x:v>
      </x:c>
      <x:c r="G18" s="53"/>
      <x:c r="H18" s="53"/>
    </x:row>
    <x:row r="19">
      <x:c r="A19" s="60" t="str">
        <x:v>育肥校正日增重（g/天）</x:v>
      </x:c>
      <x:c r="B19" s="65" t="n">
        <x:v>1028</x:v>
      </x:c>
      <x:c r="C19" s="65" t="n">
        <x:v>1039</x:v>
      </x:c>
      <x:c r="D19" s="65" t="n">
        <x:v>1054</x:v>
      </x:c>
      <x:c r="E19" s="65" t="n">
        <x:v>1076</x:v>
      </x:c>
      <x:c r="F19" s="65" t="n">
        <x:v>1094</x:v>
      </x:c>
      <x:c r="G19" s="53"/>
      <x:c r="H19" s="53"/>
    </x:row>
    <x:row r="20">
      <x:c r="A20" s="60" t="str">
        <x:v>育肥校正料肉比（FEsv/kg）</x:v>
      </x:c>
      <x:c r="B20" s="67" t="n">
        <x:v>2.66</x:v>
      </x:c>
      <x:c r="C20" s="67" t="n">
        <x:v>2.65</x:v>
      </x:c>
      <x:c r="D20" s="67" t="n">
        <x:v>2.62</x:v>
      </x:c>
      <x:c r="E20" s="67" t="n">
        <x:v>2.57</x:v>
      </x:c>
      <x:c r="F20" s="67" t="n">
        <x:v>2.51</x:v>
      </x:c>
      <x:c r="G20" s="53"/>
      <x:c r="H20" s="53"/>
    </x:row>
    <x:row r="21">
      <x:c r="A21" s="60" t="str">
        <x:v>育肥死亡及废弃率</x:v>
      </x:c>
      <x:c r="B21" s="63" t="n">
        <x:v>0.036</x:v>
      </x:c>
      <x:c r="C21" s="63" t="n">
        <x:v>0.035</x:v>
      </x:c>
      <x:c r="D21" s="63" t="n">
        <x:v>0.034</x:v>
      </x:c>
      <x:c r="E21" s="63" t="n">
        <x:v>0.034</x:v>
      </x:c>
      <x:c r="F21" s="63" t="n">
        <x:v>0.035</x:v>
      </x:c>
      <x:c r="G21" s="53"/>
      <x:c r="H21" s="53"/>
    </x:row>
    <x:row r="22">
      <x:c r="A22" s="60" t="str">
        <x:v>平均胴体重（kg）</x:v>
      </x:c>
      <x:c r="B22" s="61" t="n">
        <x:v>90.6</x:v>
      </x:c>
      <x:c r="C22" s="61" t="n">
        <x:v>87.6</x:v>
      </x:c>
      <x:c r="D22" s="61" t="n">
        <x:v>88.4</x:v>
      </x:c>
      <x:c r="E22" s="61" t="n">
        <x:v>90.6</x:v>
      </x:c>
      <x:c r="F22" s="61" t="n">
        <x:v>92.3</x:v>
      </x:c>
      <x:c r="G22" s="53"/>
      <x:c r="H22" s="53"/>
    </x:row>
    <x:row r="23">
      <x:c r="A23" s="53"/>
      <x:c r="B23" s="53"/>
      <x:c r="C23" s="53"/>
      <x:c r="D23" s="53"/>
      <x:c r="E23" s="53"/>
      <x:c r="F23" s="53"/>
      <x:c r="G23" s="53"/>
      <x:c r="H23" s="53"/>
    </x:row>
    <x:row r="24">
      <x:c r="A24" s="58" t="str">
        <x:v>五年变化（2025减2021）</x:v>
      </x:c>
      <x:c r="B24" s="58"/>
      <x:c r="C24" s="58"/>
      <x:c r="D24" s="58"/>
      <x:c r="E24" s="58"/>
      <x:c r="F24" s="58"/>
      <x:c r="G24" s="53"/>
      <x:c r="H24" s="53"/>
    </x:row>
    <x:row r="25">
      <x:c r="A25" s="59" t="str">
        <x:v>指标</x:v>
      </x:c>
      <x:c r="B25" s="59" t="str">
        <x:v>2021</x:v>
      </x:c>
      <x:c r="C25" s="59" t="str">
        <x:v>2025</x:v>
      </x:c>
      <x:c r="D25" s="59" t="str">
        <x:v>五年变化</x:v>
      </x:c>
      <x:c r="E25" s="53"/>
      <x:c r="F25" s="53"/>
      <x:c r="G25" s="53"/>
      <x:c r="H25" s="53"/>
    </x:row>
    <x:row r="26">
      <x:c r="A26" s="60" t="str">
        <x:v>PSY</x:v>
      </x:c>
      <x:c r="B26" s="61" t="n">
        <x:v>34</x:v>
      </x:c>
      <x:c r="C26" s="61" t="n">
        <x:v>36.9</x:v>
      </x:c>
      <x:c r="D26" s="61" t="n">
        <x:f>C26-B26</x:f>
        <x:v>2.8999999999999986</x:v>
      </x:c>
      <x:c r="E26" s="53"/>
      <x:c r="F26" s="53"/>
      <x:c r="G26" s="53"/>
      <x:c r="H26" s="53"/>
    </x:row>
    <x:row r="27">
      <x:c r="A27" s="60" t="str">
        <x:v>总仔猪死亡率</x:v>
      </x:c>
      <x:c r="B27" s="63" t="n">
        <x:v>0.234</x:v>
      </x:c>
      <x:c r="C27" s="63" t="n">
        <x:v>0.203</x:v>
      </x:c>
      <x:c r="D27" s="63" t="n">
        <x:f>C27-B27</x:f>
        <x:v>-0.031</x:v>
      </x:c>
      <x:c r="E27" s="53"/>
      <x:c r="F27" s="53"/>
      <x:c r="G27" s="53"/>
      <x:c r="H27" s="53"/>
    </x:row>
    <x:row r="28">
      <x:c r="A28" s="60" t="str">
        <x:v>育肥校正日增重（g/天）</x:v>
      </x:c>
      <x:c r="B28" s="65" t="n">
        <x:v>1028</x:v>
      </x:c>
      <x:c r="C28" s="65" t="n">
        <x:v>1094</x:v>
      </x:c>
      <x:c r="D28" s="65" t="n">
        <x:f>C28-B28</x:f>
        <x:v>66</x:v>
      </x:c>
      <x:c r="E28" s="53"/>
      <x:c r="F28" s="53"/>
      <x:c r="G28" s="53"/>
      <x:c r="H28" s="53"/>
    </x:row>
    <x:row r="29">
      <x:c r="A29" s="60" t="str">
        <x:v>育肥校正料肉比（FEsv/kg）</x:v>
      </x:c>
      <x:c r="B29" s="67" t="n">
        <x:v>2.66</x:v>
      </x:c>
      <x:c r="C29" s="67" t="n">
        <x:v>2.51</x:v>
      </x:c>
      <x:c r="D29" s="67" t="n">
        <x:f>C29-B29</x:f>
        <x:v>-0.15000000000000036</x:v>
      </x:c>
      <x:c r="E29" s="53"/>
      <x:c r="F29" s="53"/>
      <x:c r="G29" s="53"/>
      <x:c r="H29" s="53"/>
    </x:row>
    <x:row r="30">
      <x:c r="A30" s="60" t="str">
        <x:v>断奶均重（kg）</x:v>
      </x:c>
      <x:c r="B30" s="61" t="n">
        <x:v>6.4</x:v>
      </x:c>
      <x:c r="C30" s="61" t="n">
        <x:v>6.2</x:v>
      </x:c>
      <x:c r="D30" s="61" t="n">
        <x:f>C30-B30</x:f>
        <x:v>-0.20000000000000018</x:v>
      </x:c>
      <x:c r="E30" s="53"/>
      <x:c r="F30" s="53"/>
      <x:c r="G30" s="53"/>
      <x:c r="H30" s="53"/>
    </x:row>
  </x:sheetData>
  <x:mergeCells>
    <x:mergeCell ref="A1:O1"/>
    <x:mergeCell ref="A2:O2"/>
    <x:mergeCell ref="A4:H4"/>
    <x:mergeCell ref="A14:F14"/>
    <x:mergeCell ref="A24:F24"/>
  </x:mergeCells>
  <x:pageMargins left="0.7" right="0.7" top="0.75" bottom="0.75" header="0.3" footer="0.3"/>
  <x:drawing xmlns:r="http://schemas.openxmlformats.org/officeDocument/2006/relationships" r:id="Rea05058d1a044e2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76" t="str">
        <x:v>2025年母猪场分位比较</x:v>
      </x:c>
      <x:c r="B1" s="76"/>
      <x:c r="C1" s="76"/>
      <x:c r="D1" s="76"/>
      <x:c r="E1" s="76"/>
      <x:c r="F1" s="76"/>
    </x:row>
    <x:row r="2" ht="34" customHeight="1">
      <x:c r="A2" s="54" t="str">
        <x:v>前25%、全国平均、后25%均来自同一分位表。表内“全国平均”因样本/四舍五入，可能与全国概览有轻微差异。</x:v>
      </x:c>
      <x:c r="B2" s="53"/>
      <x:c r="C2" s="53"/>
      <x:c r="D2" s="53"/>
      <x:c r="E2" s="53"/>
      <x:c r="F2" s="53"/>
    </x:row>
    <x:row r="3">
      <x:c r="A3" s="53"/>
      <x:c r="B3" s="53"/>
      <x:c r="C3" s="53"/>
      <x:c r="D3" s="53"/>
      <x:c r="E3" s="53"/>
      <x:c r="F3" s="53"/>
    </x:row>
    <x:row r="4">
      <x:c r="A4" s="59" t="str">
        <x:v>指标</x:v>
      </x:c>
      <x:c r="B4" s="59" t="str">
        <x:v>单位</x:v>
      </x:c>
      <x:c r="C4" s="59" t="str">
        <x:v>前25%猪场</x:v>
      </x:c>
      <x:c r="D4" s="59" t="str">
        <x:v>全国平均</x:v>
      </x:c>
      <x:c r="E4" s="59" t="str">
        <x:v>后25%猪场</x:v>
      </x:c>
      <x:c r="F4" s="59" t="str">
        <x:v>前25%−全国</x:v>
      </x:c>
    </x:row>
    <x:row r="5">
      <x:c r="A5" s="60" t="str">
        <x:v>PSY</x:v>
      </x:c>
      <x:c r="B5" s="60" t="str">
        <x:v>头/年母猪</x:v>
      </x:c>
      <x:c r="C5" s="61" t="n">
        <x:v>40.2</x:v>
      </x:c>
      <x:c r="D5" s="61" t="n">
        <x:v>36.9</x:v>
      </x:c>
      <x:c r="E5" s="61" t="n">
        <x:v>33.1</x:v>
      </x:c>
      <x:c r="F5" s="61" t="n">
        <x:f>C5-D5</x:f>
        <x:v>3.3000000000000043</x:v>
      </x:c>
    </x:row>
    <x:row r="6">
      <x:c r="A6" s="60" t="str">
        <x:v>窝均活仔数</x:v>
      </x:c>
      <x:c r="B6" s="60" t="str">
        <x:v>头</x:v>
      </x:c>
      <x:c r="C6" s="61" t="n">
        <x:v>20</x:v>
      </x:c>
      <x:c r="D6" s="61" t="n">
        <x:v>19</x:v>
      </x:c>
      <x:c r="E6" s="61" t="n">
        <x:v>17.6</x:v>
      </x:c>
      <x:c r="F6" s="61" t="n">
        <x:f>C6-D6</x:f>
        <x:v>1</x:v>
      </x:c>
    </x:row>
    <x:row r="7">
      <x:c r="A7" s="60" t="str">
        <x:v>窝均断奶数</x:v>
      </x:c>
      <x:c r="B7" s="60" t="str">
        <x:v>头</x:v>
      </x:c>
      <x:c r="C7" s="61" t="n">
        <x:v>17.8</x:v>
      </x:c>
      <x:c r="D7" s="61" t="n">
        <x:v>16.5</x:v>
      </x:c>
      <x:c r="E7" s="61" t="n">
        <x:v>14.9</x:v>
      </x:c>
      <x:c r="F7" s="61" t="n">
        <x:f>C7-D7</x:f>
        <x:v>1.3000000000000007</x:v>
      </x:c>
    </x:row>
    <x:row r="8">
      <x:c r="A8" s="60" t="str">
        <x:v>总仔猪死亡率</x:v>
      </x:c>
      <x:c r="B8" s="60" t="str">
        <x:v>%</x:v>
      </x:c>
      <x:c r="C8" s="63" t="n">
        <x:v>0.184</x:v>
      </x:c>
      <x:c r="D8" s="63" t="n">
        <x:v>0.205</x:v>
      </x:c>
      <x:c r="E8" s="63" t="n">
        <x:v>0.221</x:v>
      </x:c>
      <x:c r="F8" s="63" t="n">
        <x:f>C8-D8</x:f>
        <x:v>-0.02099999999999999</x:v>
      </x:c>
    </x:row>
    <x:row r="9">
      <x:c r="A9" s="60" t="str">
        <x:v>分娩率</x:v>
      </x:c>
      <x:c r="B9" s="60" t="str">
        <x:v>%</x:v>
      </x:c>
      <x:c r="C9" s="63" t="n">
        <x:v>0.905</x:v>
      </x:c>
      <x:c r="D9" s="63" t="n">
        <x:v>0.885</x:v>
      </x:c>
      <x:c r="E9" s="63" t="n">
        <x:v>0.854</x:v>
      </x:c>
      <x:c r="F9" s="63" t="n">
        <x:f>C9-D9</x:f>
        <x:v>0.020000000000000018</x:v>
      </x:c>
    </x:row>
    <x:row r="10">
      <x:c r="A10" s="60" t="str">
        <x:v>返情率</x:v>
      </x:c>
      <x:c r="B10" s="60" t="str">
        <x:v>%</x:v>
      </x:c>
      <x:c r="C10" s="63" t="n">
        <x:v>0.033</x:v>
      </x:c>
      <x:c r="D10" s="63" t="n">
        <x:v>0.044</x:v>
      </x:c>
      <x:c r="E10" s="63" t="n">
        <x:v>0.063</x:v>
      </x:c>
      <x:c r="F10" s="63" t="n">
        <x:f>C10-D10</x:f>
        <x:v>-0.010999999999999996</x:v>
      </x:c>
    </x:row>
    <x:row r="11">
      <x:c r="A11" s="60" t="str">
        <x:v>年产胎次</x:v>
      </x:c>
      <x:c r="B11" s="60" t="str">
        <x:v>胎</x:v>
      </x:c>
      <x:c r="C11" s="61" t="n">
        <x:v>2.28</x:v>
      </x:c>
      <x:c r="D11" s="61" t="n">
        <x:v>2.24</x:v>
      </x:c>
      <x:c r="E11" s="61" t="n">
        <x:v>2.18</x:v>
      </x:c>
      <x:c r="F11" s="61" t="n">
        <x:f>C11-D11</x:f>
        <x:v>0.03999999999999959</x:v>
      </x:c>
    </x:row>
    <x:row r="12">
      <x:c r="A12" s="60" t="str">
        <x:v>非生产天数/胎</x:v>
      </x:c>
      <x:c r="B12" s="60" t="str">
        <x:v>天</x:v>
      </x:c>
      <x:c r="C12" s="61" t="n">
        <x:v>11.6</x:v>
      </x:c>
      <x:c r="D12" s="61" t="n">
        <x:v>13.9</x:v>
      </x:c>
      <x:c r="E12" s="61" t="n">
        <x:v>17.2</x:v>
      </x:c>
      <x:c r="F12" s="61" t="n">
        <x:f>C12-D12</x:f>
        <x:v>-2.3000000000000007</x:v>
      </x:c>
    </x:row>
    <x:row r="13">
      <x:c r="A13" s="60" t="str">
        <x:v>断奶均重</x:v>
      </x:c>
      <x:c r="B13" s="60" t="str">
        <x:v>kg</x:v>
      </x:c>
      <x:c r="C13" s="61" t="n">
        <x:v>5.9</x:v>
      </x:c>
      <x:c r="D13" s="61" t="n">
        <x:v>6</x:v>
      </x:c>
      <x:c r="E13" s="61" t="n">
        <x:v>6.7</x:v>
      </x:c>
      <x:c r="F13" s="61" t="n">
        <x:f>C13-D13</x:f>
        <x:v>-0.09999999999999964</x:v>
      </x:c>
    </x:row>
    <x:row r="14">
      <x:c r="A14" s="53"/>
      <x:c r="B14" s="53"/>
      <x:c r="C14" s="53"/>
      <x:c r="D14" s="53"/>
      <x:c r="E14" s="53"/>
      <x:c r="F14" s="53"/>
    </x:row>
    <x:row r="15">
      <x:c r="A15" s="69" t="str">
        <x:v>读表重点：前25%比全国平均多断奶3.3头/年母猪，同时总仔猪死亡率低2.1个百分点、非生产天数少2.3天/胎；但断奶均重低0.1kg。效率比较必须同时观察数量、死亡率和重量。</x:v>
      </x:c>
      <x:c r="B15" s="69"/>
      <x:c r="C15" s="69"/>
      <x:c r="D15" s="69"/>
      <x:c r="E15" s="69"/>
      <x:c r="F15" s="69"/>
    </x:row>
    <x:row r="16">
      <x:c r="A16" s="69"/>
      <x:c r="B16" s="69"/>
      <x:c r="C16" s="69"/>
      <x:c r="D16" s="69"/>
      <x:c r="E16" s="69"/>
      <x:c r="F16" s="69"/>
    </x:row>
    <x:row r="17">
      <x:c r="A17" s="69"/>
      <x:c r="B17" s="69"/>
      <x:c r="C17" s="69"/>
      <x:c r="D17" s="69"/>
      <x:c r="E17" s="69"/>
      <x:c r="F17" s="69"/>
    </x:row>
  </x:sheetData>
  <x:mergeCells>
    <x:mergeCell ref="A1:F1"/>
    <x:mergeCell ref="A2:F2"/>
    <x:mergeCell ref="A15:F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30" customHeight="1">
      <x:c r="A1" s="76" t="str">
        <x:v>DanBred商业猪场成绩（2024）</x:v>
      </x:c>
      <x:c r="B1" s="76"/>
      <x:c r="C1" s="76"/>
      <x:c r="D1" s="76"/>
      <x:c r="E1" s="76"/>
      <x:c r="F1" s="76"/>
      <x:c r="G1" s="76"/>
    </x:row>
    <x:row r="2" ht="34" customHeight="1">
      <x:c r="A2" s="54" t="str">
        <x:v>这是一组按DanBred LY母猪×DanBred Duroc公猪及其后代筛选的商业场样本；不是丹麦全国平均。</x:v>
      </x:c>
      <x:c r="B2" s="53"/>
      <x:c r="C2" s="53"/>
      <x:c r="D2" s="53"/>
      <x:c r="E2" s="53"/>
      <x:c r="F2" s="53"/>
      <x:c r="G2" s="53"/>
    </x:row>
    <x:row r="3">
      <x:c r="A3" s="53"/>
      <x:c r="B3" s="53"/>
      <x:c r="C3" s="53"/>
      <x:c r="D3" s="53"/>
      <x:c r="E3" s="53"/>
      <x:c r="F3" s="53"/>
      <x:c r="G3" s="53"/>
    </x:row>
    <x:row r="4">
      <x:c r="A4" s="58" t="str">
        <x:v>母猪与育肥核心KPI</x:v>
      </x:c>
      <x:c r="B4" s="58"/>
      <x:c r="C4" s="58"/>
      <x:c r="D4" s="58"/>
      <x:c r="E4" s="58"/>
      <x:c r="F4" s="58"/>
      <x:c r="G4" s="58"/>
    </x:row>
    <x:row r="5">
      <x:c r="A5" s="59" t="str">
        <x:v>指标</x:v>
      </x:c>
      <x:c r="B5" s="59" t="str">
        <x:v>单位</x:v>
      </x:c>
      <x:c r="C5" s="59" t="str">
        <x:v>DanBred平均</x:v>
      </x:c>
      <x:c r="D5" s="59" t="str">
        <x:v>DanBred前10%</x:v>
      </x:c>
      <x:c r="E5" s="59" t="str">
        <x:v>差异（前10%−平均）</x:v>
      </x:c>
      <x:c r="F5" s="59" t="str">
        <x:v>全国2024参考</x:v>
      </x:c>
      <x:c r="G5" s="59" t="str">
        <x:v>备注</x:v>
      </x:c>
    </x:row>
    <x:row r="6">
      <x:c r="A6" s="60" t="str">
        <x:v>PSY</x:v>
      </x:c>
      <x:c r="B6" s="60" t="str">
        <x:v>头/年母猪</x:v>
      </x:c>
      <x:c r="C6" s="61" t="n">
        <x:v>37.3</x:v>
      </x:c>
      <x:c r="D6" s="61" t="n">
        <x:v>41.9</x:v>
      </x:c>
      <x:c r="E6" s="61" t="n">
        <x:f>D6-C6</x:f>
        <x:v>4.600000000000001</x:v>
      </x:c>
      <x:c r="F6" s="61" t="n">
        <x:v>35.6</x:v>
      </x:c>
      <x:c r="G6" s="60" t="str"/>
    </x:row>
    <x:row r="7">
      <x:c r="A7" s="60" t="str">
        <x:v>窝均活仔数</x:v>
      </x:c>
      <x:c r="B7" s="60" t="str">
        <x:v>头</x:v>
      </x:c>
      <x:c r="C7" s="61" t="n">
        <x:v>19.2</x:v>
      </x:c>
      <x:c r="D7" s="61" t="n">
        <x:v>20</x:v>
      </x:c>
      <x:c r="E7" s="61" t="n">
        <x:f>D7-C7</x:f>
        <x:v>0.8000000000000007</x:v>
      </x:c>
      <x:c r="F7" s="61"/>
      <x:c r="G7" s="60" t="str"/>
    </x:row>
    <x:row r="8">
      <x:c r="A8" s="60" t="str">
        <x:v>窝均断奶数</x:v>
      </x:c>
      <x:c r="B8" s="60" t="str">
        <x:v>头</x:v>
      </x:c>
      <x:c r="C8" s="61" t="n">
        <x:v>16.5</x:v>
      </x:c>
      <x:c r="D8" s="61" t="n">
        <x:v>18</x:v>
      </x:c>
      <x:c r="E8" s="61" t="n">
        <x:f>D8-C8</x:f>
        <x:v>1.5</x:v>
      </x:c>
      <x:c r="F8" s="61" t="n">
        <x:v>15.9</x:v>
      </x:c>
      <x:c r="G8" s="60" t="str"/>
    </x:row>
    <x:row r="9">
      <x:c r="A9" s="60" t="str">
        <x:v>总仔猪死亡率</x:v>
      </x:c>
      <x:c r="B9" s="60" t="str">
        <x:v>%</x:v>
      </x:c>
      <x:c r="C9" s="63" t="n">
        <x:v>0.214</x:v>
      </x:c>
      <x:c r="D9" s="63" t="n">
        <x:v>0.179</x:v>
      </x:c>
      <x:c r="E9" s="63" t="n">
        <x:f>D9-C9</x:f>
        <x:v>-0.035</x:v>
      </x:c>
      <x:c r="F9" s="63" t="n">
        <x:v>0.217</x:v>
      </x:c>
      <x:c r="G9" s="60" t="str">
        <x:v>前10%较低更好</x:v>
      </x:c>
    </x:row>
    <x:row r="10">
      <x:c r="A10" s="60" t="str">
        <x:v>分娩率</x:v>
      </x:c>
      <x:c r="B10" s="60" t="str">
        <x:v>%</x:v>
      </x:c>
      <x:c r="C10" s="63" t="n">
        <x:v>0.88</x:v>
      </x:c>
      <x:c r="D10" s="63" t="n">
        <x:v>0.909</x:v>
      </x:c>
      <x:c r="E10" s="63" t="n">
        <x:f>D10-C10</x:f>
        <x:v>0.029000000000000026</x:v>
      </x:c>
      <x:c r="F10" s="63" t="n">
        <x:v>0.876</x:v>
      </x:c>
      <x:c r="G10" s="60" t="str"/>
    </x:row>
    <x:row r="11">
      <x:c r="A11" s="60" t="str">
        <x:v>育肥校正日增重</x:v>
      </x:c>
      <x:c r="B11" s="60" t="str">
        <x:v>g/天</x:v>
      </x:c>
      <x:c r="C11" s="65" t="n">
        <x:v>1080</x:v>
      </x:c>
      <x:c r="D11" s="65" t="n">
        <x:v>1162</x:v>
      </x:c>
      <x:c r="E11" s="65" t="n">
        <x:f>D11-C11</x:f>
        <x:v>82</x:v>
      </x:c>
      <x:c r="F11" s="61" t="n">
        <x:v>1076</x:v>
      </x:c>
      <x:c r="G11" s="60" t="str">
        <x:v>30–115kg</x:v>
      </x:c>
    </x:row>
    <x:row r="12">
      <x:c r="A12" s="60" t="str">
        <x:v>育肥校正料肉比</x:v>
      </x:c>
      <x:c r="B12" s="60" t="str">
        <x:v>FEsv/kg</x:v>
      </x:c>
      <x:c r="C12" s="67" t="n">
        <x:v>2.55</x:v>
      </x:c>
      <x:c r="D12" s="67" t="n">
        <x:v>2.39</x:v>
      </x:c>
      <x:c r="E12" s="67" t="n">
        <x:f>D12-C12</x:f>
        <x:v>-0.1599999999999997</x:v>
      </x:c>
      <x:c r="F12" s="67" t="n">
        <x:v>2.57</x:v>
      </x:c>
      <x:c r="G12" s="60" t="str">
        <x:v>较低更好</x:v>
      </x:c>
    </x:row>
    <x:row r="13">
      <x:c r="A13" s="60" t="str">
        <x:v>瘦肉率</x:v>
      </x:c>
      <x:c r="B13" s="60" t="str">
        <x:v>%</x:v>
      </x:c>
      <x:c r="C13" s="63" t="n">
        <x:v>0.597</x:v>
      </x:c>
      <x:c r="D13" s="63" t="n">
        <x:v>0.598</x:v>
      </x:c>
      <x:c r="E13" s="63" t="n">
        <x:f>D13-C13</x:f>
        <x:v>0.0010000000000000009</x:v>
      </x:c>
      <x:c r="F13" s="63" t="n">
        <x:v>0.595</x:v>
      </x:c>
      <x:c r="G13" s="60" t="str"/>
    </x:row>
    <x:row r="14">
      <x:c r="A14" s="53"/>
      <x:c r="B14" s="53"/>
      <x:c r="C14" s="53"/>
      <x:c r="D14" s="53"/>
      <x:c r="E14" s="53"/>
      <x:c r="F14" s="53"/>
      <x:c r="G14" s="53"/>
    </x:row>
    <x:row r="15">
      <x:c r="A15" s="58" t="str">
        <x:v>样本与解释</x:v>
      </x:c>
      <x:c r="B15" s="58"/>
      <x:c r="C15" s="58"/>
      <x:c r="D15" s="58"/>
      <x:c r="E15" s="58"/>
      <x:c r="F15" s="58"/>
      <x:c r="G15" s="58"/>
    </x:row>
    <x:row r="16">
      <x:c r="A16" s="59" t="str">
        <x:v>群体</x:v>
      </x:c>
      <x:c r="B16" s="59" t="str">
        <x:v>规模</x:v>
      </x:c>
      <x:c r="C16" s="59" t="str">
        <x:v>可得内容</x:v>
      </x:c>
      <x:c r="D16" s="59" t="str">
        <x:v>使用限制</x:v>
      </x:c>
      <x:c r="E16" s="53"/>
      <x:c r="F16" s="53"/>
      <x:c r="G16" s="53"/>
    </x:row>
    <x:row r="17">
      <x:c r="A17" s="60" t="str">
        <x:v>母猪</x:v>
      </x:c>
      <x:c r="B17" s="60" t="n">
        <x:v>120700</x:v>
      </x:c>
      <x:c r="C17" s="60" t="str">
        <x:v>繁殖KPI</x:v>
      </x:c>
      <x:c r="D17" s="60" t="str">
        <x:v>筛选样本，非全丹麦</x:v>
      </x:c>
      <x:c r="E17" s="53"/>
      <x:c r="F17" s="53"/>
      <x:c r="G17" s="53"/>
    </x:row>
    <x:row r="18">
      <x:c r="A18" s="60" t="str">
        <x:v>保育猪</x:v>
      </x:c>
      <x:c r="B18" s="60" t="n">
        <x:v>2400000</x:v>
      </x:c>
      <x:c r="C18" s="60" t="str">
        <x:v>保育生产成绩</x:v>
      </x:c>
      <x:c r="D18" s="60" t="str">
        <x:v>与全国平均不要直接做品种因果比较</x:v>
      </x:c>
      <x:c r="E18" s="53"/>
      <x:c r="F18" s="53"/>
      <x:c r="G18" s="53"/>
    </x:row>
    <x:row r="19">
      <x:c r="A19" s="60" t="str">
        <x:v>育肥猪</x:v>
      </x:c>
      <x:c r="B19" s="60" t="n">
        <x:v>3100000</x:v>
      </x:c>
      <x:c r="C19" s="60" t="str">
        <x:v>育肥、胴体KPI</x:v>
      </x:c>
      <x:c r="D19" s="60" t="str">
        <x:v>年份为2024</x:v>
      </x:c>
      <x:c r="E19" s="53"/>
      <x:c r="F19" s="53"/>
      <x:c r="G19" s="53"/>
    </x:row>
    <x:row r="20">
      <x:c r="A20" s="53"/>
      <x:c r="B20" s="53"/>
      <x:c r="C20" s="53"/>
      <x:c r="D20" s="53"/>
      <x:c r="E20" s="53"/>
      <x:c r="F20" s="53"/>
      <x:c r="G20" s="53"/>
    </x:row>
    <x:row r="21">
      <x:c r="A21" s="69" t="str">
        <x:v>来源核验：LandbrugsInfo / SEGES Innovation《KPIs for DanBred pigs on commercial farms 2024》No. 2516，2025-10-09。报告明确说明样本由多种筛选条件和遗传使用信息匹配得到，因此在解释上应视为“商业场表现基准”，而不是随机对照试验。</x:v>
      </x:c>
      <x:c r="B21" s="69"/>
      <x:c r="C21" s="69"/>
      <x:c r="D21" s="69"/>
      <x:c r="E21" s="69"/>
      <x:c r="F21" s="69"/>
      <x:c r="G21" s="69"/>
    </x:row>
    <x:row r="22">
      <x:c r="A22" s="69"/>
      <x:c r="B22" s="69"/>
      <x:c r="C22" s="69"/>
      <x:c r="D22" s="69"/>
      <x:c r="E22" s="69"/>
      <x:c r="F22" s="69"/>
      <x:c r="G22" s="69"/>
    </x:row>
    <x:row r="23">
      <x:c r="A23" s="69"/>
      <x:c r="B23" s="69"/>
      <x:c r="C23" s="69"/>
      <x:c r="D23" s="69"/>
      <x:c r="E23" s="69"/>
      <x:c r="F23" s="69"/>
      <x:c r="G23" s="69"/>
    </x:row>
  </x:sheetData>
  <x:mergeCells>
    <x:mergeCell ref="A1:G1"/>
    <x:mergeCell ref="A2:G2"/>
    <x:mergeCell ref="A4:G4"/>
    <x:mergeCell ref="A15:G15"/>
    <x:mergeCell ref="A21:G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5" hidden="0" customWidth="1"/>
    <x:col min="3" max="3" width="32" hidden="0" customWidth="1"/>
    <x:col min="4" max="4" width="16" hidden="0" customWidth="1"/>
    <x:col min="5" max="5" width="34" hidden="0" customWidth="1"/>
    <x:col min="6" max="6" width="62" hidden="0" customWidth="1"/>
  </x:cols>
  <x:sheetData>
    <x:row r="1" ht="30" customHeight="1">
      <x:c r="A1" s="76" t="str">
        <x:v>来源、下载与口径说明</x:v>
      </x:c>
      <x:c r="B1" s="76"/>
      <x:c r="C1" s="76"/>
      <x:c r="D1" s="76"/>
      <x:c r="E1" s="76"/>
      <x:c r="F1" s="76"/>
    </x:row>
    <x:row r="2" ht="34" customHeight="1">
      <x:c r="A2" s="54" t="str">
        <x:v>所有链接均为公开来源；打开链接后可按浏览器下载图标保存原始PDF。</x:v>
      </x:c>
      <x:c r="B2" s="53"/>
      <x:c r="C2" s="53"/>
      <x:c r="D2" s="53"/>
      <x:c r="E2" s="53"/>
      <x:c r="F2" s="53"/>
    </x:row>
    <x:row r="3">
      <x:c r="A3" s="53"/>
      <x:c r="B3" s="53"/>
      <x:c r="C3" s="53"/>
      <x:c r="D3" s="53"/>
      <x:c r="E3" s="53"/>
      <x:c r="F3" s="53"/>
    </x:row>
    <x:row r="4">
      <x:c r="A4" s="59" t="str">
        <x:v>序号</x:v>
      </x:c>
      <x:c r="B4" s="59" t="str">
        <x:v>文件/页面</x:v>
      </x:c>
      <x:c r="C4" s="59" t="str">
        <x:v>发布机构</x:v>
      </x:c>
      <x:c r="D4" s="59" t="str">
        <x:v>发布日期</x:v>
      </x:c>
      <x:c r="E4" s="59" t="str">
        <x:v>用途</x:v>
      </x:c>
      <x:c r="F4" s="59" t="str">
        <x:v>公开链接</x:v>
      </x:c>
    </x:row>
    <x:row r="5" ht="52" customHeight="1">
      <x:c r="A5" s="60" t="n">
        <x:v>1</x:v>
      </x:c>
      <x:c r="B5" s="60" t="str">
        <x:v>Landsgennemsnit for produktivitet i produktionen af grise i 2025 – Notat 2608</x:v>
      </x:c>
      <x:c r="C5" s="60" t="str">
        <x:v>SEGES Innovation / LandbrugsInfo</x:v>
      </x:c>
      <x:c r="D5" s="60" t="str">
        <x:v>2026-07-02</x:v>
      </x:c>
      <x:c r="E5" s="60" t="str">
        <x:v>2025全国平均；本工作簿主要数据来源</x:v>
      </x:c>
      <x:c r="F5" s="57" t="str">
        <x:v>https://www.landbrugsinfo.dk/</x:v>
      </x:c>
    </x:row>
    <x:row r="6" ht="52" customHeight="1">
      <x:c r="A6" s="60" t="n">
        <x:v>2</x:v>
      </x:c>
      <x:c r="B6" s="60" t="str">
        <x:v>Landsgennemsnit for produktivitet i produktionen af grise i 2024 – Notat 2505</x:v>
      </x:c>
      <x:c r="C6" s="60" t="str">
        <x:v>SEGES Innovation / LandbrugsInfo</x:v>
      </x:c>
      <x:c r="D6" s="60" t="str">
        <x:v>2025-06-19</x:v>
      </x:c>
      <x:c r="E6" s="60" t="str">
        <x:v>2024同比与历史趋势交叉核验</x:v>
      </x:c>
      <x:c r="F6" s="57" t="str">
        <x:v>https://www.landbrugsinfo.dk/-/media/landbrugsinfo/public/3/d/c/landsgennemsnit_produktion_grise_2024_notat2505.pdf</x:v>
      </x:c>
    </x:row>
    <x:row r="7" ht="52" customHeight="1">
      <x:c r="A7" s="60" t="n">
        <x:v>3</x:v>
      </x:c>
      <x:c r="B7" s="60" t="str">
        <x:v>KPIs for DanBred pigs on commercial farms 2024 – No. 2516</x:v>
      </x:c>
      <x:c r="C7" s="60" t="str">
        <x:v>SEGES Innovation / LandbrugsInfo</x:v>
      </x:c>
      <x:c r="D7" s="60" t="str">
        <x:v>2025-10-09</x:v>
      </x:c>
      <x:c r="E7" s="60" t="str">
        <x:v>DanBred商业场基准</x:v>
      </x:c>
      <x:c r="F7" s="57" t="str">
        <x:v>https://www.landbrugsinfo.dk/-/media/landbrugsinfo/public/0/2/c/kpi_danbred_pigs_commercial_farms_2024_no_2516.pdf</x:v>
      </x:c>
    </x:row>
    <x:row r="8" ht="52" customHeight="1">
      <x:c r="A8" s="60" t="n">
        <x:v>4</x:v>
      </x:c>
      <x:c r="B8" s="60" t="str">
        <x:v>DanBred commercial farms KPI landing page</x:v>
      </x:c>
      <x:c r="C8" s="60" t="str">
        <x:v>LandbrugsInfo</x:v>
      </x:c>
      <x:c r="D8" s="60" t="str">
        <x:v>2025-10-09</x:v>
      </x:c>
      <x:c r="E8" s="60" t="str">
        <x:v>报告介绍与PDF下载入口</x:v>
      </x:c>
      <x:c r="F8" s="57" t="str">
        <x:v>https://www.landbrugsinfo.dk/public/9/c/2/management_danbred_grise_produktionsbesatninger_2024</x:v>
      </x:c>
    </x:row>
    <x:row r="9" ht="52" customHeight="1">
      <x:c r="A9" s="60" t="n">
        <x:v>5</x:v>
      </x:c>
      <x:c r="B9" s="60" t="str">
        <x:v>Normtal for omkostninger 2026 – Notat 2517</x:v>
      </x:c>
      <x:c r="C9" s="60" t="str">
        <x:v>SEGES Innovation / LandbrugsInfo</x:v>
      </x:c>
      <x:c r="D9" s="60" t="str">
        <x:v>2025-10-09</x:v>
      </x:c>
      <x:c r="E9" s="60" t="str">
        <x:v>2026成本与预算基准</x:v>
      </x:c>
      <x:c r="F9" s="57" t="str">
        <x:v>https://www.landbrugsinfo.dk/-/media/landbrugsinfo/public/8/7/3/normtal_omkostninger_griseproducenter_2026_notat_2517.pdf</x:v>
      </x:c>
    </x:row>
    <x:row r="10" ht="52" customHeight="1">
      <x:c r="A10" s="60" t="n">
        <x:v>6</x:v>
      </x:c>
      <x:c r="B10" s="60" t="str">
        <x:v>DanBred breeding goals and documented results</x:v>
      </x:c>
      <x:c r="C10" s="60" t="str">
        <x:v>DanBred</x:v>
      </x:c>
      <x:c r="D10" s="60" t="str">
        <x:v>2018-05-16</x:v>
      </x:c>
      <x:c r="E10" s="60" t="str">
        <x:v>选择目标、瘦肉率与屠宰损失的历史披露</x:v>
      </x:c>
      <x:c r="F10" s="57" t="str">
        <x:v>https://danbred.com/danbred-breeding-goals-and-documented-results/</x:v>
      </x:c>
    </x:row>
    <x:row r="11" ht="52" customHeight="1">
      <x:c r="A11" s="60" t="n">
        <x:v>7</x:v>
      </x:c>
      <x:c r="B11" s="60" t="str">
        <x:v>DanBred D(LY) performance &amp; meat quality page</x:v>
      </x:c>
      <x:c r="C11" s="60" t="str">
        <x:v>DanBred</x:v>
      </x:c>
      <x:c r="D11" s="60" t="str">
        <x:v>页面未标明</x:v>
      </x:c>
      <x:c r="E11" s="60" t="str">
        <x:v>官网展示的肌内脂肪和pH值</x:v>
      </x:c>
      <x:c r="F11" s="57" t="str">
        <x:v>https://danbred.com/nl/ons-dna/yorkshire/</x:v>
      </x:c>
    </x:row>
    <x:row r="12">
      <x:c r="A12" s="53"/>
      <x:c r="B12" s="53"/>
      <x:c r="C12" s="53"/>
      <x:c r="D12" s="53"/>
      <x:c r="E12" s="53"/>
      <x:c r="F12" s="53"/>
    </x:row>
    <x:row r="13">
      <x:c r="A13" s="58" t="str">
        <x:v>术语与使用边界</x:v>
      </x:c>
      <x:c r="B13" s="58"/>
      <x:c r="C13" s="58"/>
      <x:c r="D13" s="58"/>
      <x:c r="E13" s="58"/>
      <x:c r="F13" s="58"/>
    </x:row>
    <x:row r="14">
      <x:c r="A14" s="59" t="str">
        <x:v>术语</x:v>
      </x:c>
      <x:c r="B14" s="59" t="str">
        <x:v>解释</x:v>
      </x:c>
      <x:c r="C14" s="53"/>
      <x:c r="D14" s="53"/>
      <x:c r="E14" s="53"/>
      <x:c r="F14" s="53"/>
    </x:row>
    <x:row r="15">
      <x:c r="A15" s="60" t="str">
        <x:v>PSY</x:v>
      </x:c>
      <x:c r="B15" s="60" t="str">
        <x:v>每头年均母猪断奶仔猪数；不是每头年均上市肉猪数（MSY）。</x:v>
      </x:c>
      <x:c r="C15" s="53"/>
      <x:c r="D15" s="53"/>
      <x:c r="E15" s="53"/>
      <x:c r="F15" s="53"/>
    </x:row>
    <x:row r="16">
      <x:c r="A16" s="60" t="str">
        <x:v>FEsv</x:v>
      </x:c>
      <x:c r="B16" s="60" t="str">
        <x:v>丹麦标准饲料单位；不能直接等同“kg饲料/kg增重”。</x:v>
      </x:c>
      <x:c r="C16" s="53"/>
      <x:c r="D16" s="53"/>
      <x:c r="E16" s="53"/>
      <x:c r="F16" s="53"/>
    </x:row>
    <x:row r="17">
      <x:c r="A17" s="60" t="str">
        <x:v>校正日增重/料肉比</x:v>
      </x:c>
      <x:c r="B17" s="60" t="str">
        <x:v>校正到统一体重段，便于跨年比较。</x:v>
      </x:c>
      <x:c r="C17" s="53"/>
      <x:c r="D17" s="53"/>
      <x:c r="E17" s="53"/>
      <x:c r="F17" s="53"/>
    </x:row>
    <x:row r="18">
      <x:c r="A18" s="60" t="str">
        <x:v>母猪死亡率</x:v>
      </x:c>
      <x:c r="B18" s="60" t="str">
        <x:v>13.9%为生产系统上报口径；DAKA与生猪流动数据库口径约15.6%，不可混用。</x:v>
      </x:c>
      <x:c r="C18" s="53"/>
      <x:c r="D18" s="53"/>
      <x:c r="E18" s="53"/>
      <x:c r="F18" s="53"/>
    </x:row>
    <x:row r="19">
      <x:c r="A19" s="60" t="str">
        <x:v>分位表全国平均</x:v>
      </x:c>
      <x:c r="B19" s="60" t="str">
        <x:v>分位表中全国平均和全国概览因样本和四舍五入可有微小差异。</x:v>
      </x:c>
      <x:c r="C19" s="53"/>
      <x:c r="D19" s="53"/>
      <x:c r="E19" s="53"/>
      <x:c r="F19" s="53"/>
    </x:row>
  </x:sheetData>
  <x:mergeCells>
    <x:mergeCell ref="A1:F1"/>
    <x:mergeCell ref="A2:F2"/>
    <x:mergeCell ref="A13:F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</x:cols>
  <x:sheetData>
    <x:row r="1" ht="30" customHeight="1">
      <x:c r="A1" s="76" t="str">
        <x:v>图表数据（由近5年趋势表公式引用）</x:v>
      </x:c>
      <x:c r="B1" s="76"/>
      <x:c r="C1" s="76"/>
    </x:row>
    <x:row r="2" ht="34" customHeight="1">
      <x:c r="A2" s="54" t="str">
        <x:v>此页为图表数据源，避免图表把指标名称误当作横轴。</x:v>
      </x:c>
      <x:c r="B2" s="53"/>
      <x:c r="C2" s="53"/>
    </x:row>
    <x:row r="3">
      <x:c r="A3" s="53"/>
      <x:c r="B3" s="53"/>
      <x:c r="C3" s="53"/>
    </x:row>
    <x:row r="4">
      <x:c r="A4" s="59" t="str">
        <x:v>年份</x:v>
      </x:c>
      <x:c r="B4" s="59" t="str">
        <x:v>PSY</x:v>
      </x:c>
      <x:c r="C4" s="59" t="str">
        <x:v>育肥校正日增重（g/天）</x:v>
      </x:c>
    </x:row>
    <x:row r="5">
      <x:c r="A5" s="60" t="n">
        <x:v>2021</x:v>
      </x:c>
      <x:c r="B5" s="60" t="n">
        <x:f>'近5年趋势'!B8</x:f>
        <x:v>34</x:v>
      </x:c>
      <x:c r="C5" s="60" t="n">
        <x:f>'近5年趋势'!B19</x:f>
        <x:v>1028</x:v>
      </x:c>
    </x:row>
    <x:row r="6">
      <x:c r="A6" s="60" t="n">
        <x:v>2022</x:v>
      </x:c>
      <x:c r="B6" s="60" t="n">
        <x:f>'近5年趋势'!C8</x:f>
        <x:v>34.1</x:v>
      </x:c>
      <x:c r="C6" s="60" t="n">
        <x:f>'近5年趋势'!C19</x:f>
        <x:v>1039</x:v>
      </x:c>
    </x:row>
    <x:row r="7">
      <x:c r="A7" s="60" t="n">
        <x:v>2023</x:v>
      </x:c>
      <x:c r="B7" s="60" t="n">
        <x:f>'近5年趋势'!D8</x:f>
        <x:v>34.8</x:v>
      </x:c>
      <x:c r="C7" s="60" t="n">
        <x:f>'近5年趋势'!D19</x:f>
        <x:v>1054</x:v>
      </x:c>
    </x:row>
    <x:row r="8">
      <x:c r="A8" s="60" t="n">
        <x:v>2024</x:v>
      </x:c>
      <x:c r="B8" s="60" t="n">
        <x:f>'近5年趋势'!E8</x:f>
        <x:v>35.6</x:v>
      </x:c>
      <x:c r="C8" s="60" t="n">
        <x:f>'近5年趋势'!E19</x:f>
        <x:v>1076</x:v>
      </x:c>
    </x:row>
    <x:row r="9">
      <x:c r="A9" s="60" t="n">
        <x:v>2025</x:v>
      </x:c>
      <x:c r="B9" s="60" t="n">
        <x:f>'近5年趋势'!F8</x:f>
        <x:v>36.9</x:v>
      </x:c>
      <x:c r="C9" s="60" t="n">
        <x:f>'近5年趋势'!F19</x:f>
        <x:v>1094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76" t="str">
        <x:v>丹麦养猪成本基准｜SEGES 2026 Normtal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54" t="str">
        <x:v>单位：丹麦克朗（DKK）。以2024生产与Business Check成本为基础、结合饲料价格预测的2026预算基准，不是某一猪场实际结算成本。</x:v>
      </x:c>
      <x:c r="B2" s="53"/>
      <x:c r="C2" s="53"/>
      <x:c r="D2" s="53"/>
      <x:c r="E2" s="53"/>
      <x:c r="F2" s="53"/>
      <x:c r="G2" s="53"/>
      <x:c r="H2" s="53"/>
    </x:row>
    <x:row r="3">
      <x:c r="A3" s="53"/>
      <x:c r="B3" s="53"/>
      <x:c r="C3" s="53"/>
      <x:c r="D3" s="53"/>
      <x:c r="E3" s="53"/>
      <x:c r="F3" s="53"/>
      <x:c r="G3" s="53"/>
      <x:c r="H3" s="53"/>
    </x:row>
    <x:row r="4">
      <x:c r="A4" s="58" t="str">
        <x:v>2026生产率预算基准</x:v>
      </x:c>
      <x:c r="B4" s="58"/>
      <x:c r="C4" s="58"/>
      <x:c r="D4" s="58"/>
      <x:c r="E4" s="58"/>
      <x:c r="F4" s="58"/>
      <x:c r="G4" s="58"/>
      <x:c r="H4" s="58"/>
    </x:row>
    <x:row r="5">
      <x:c r="A5" s="59" t="str">
        <x:v>环节</x:v>
      </x:c>
      <x:c r="B5" s="59" t="str">
        <x:v>指标</x:v>
      </x:c>
      <x:c r="C5" s="59" t="str">
        <x:v>全体平均</x:v>
      </x:c>
      <x:c r="D5" s="59" t="str">
        <x:v>最佳1/3</x:v>
      </x:c>
      <x:c r="E5" s="53"/>
      <x:c r="F5" s="53"/>
      <x:c r="G5" s="53"/>
      <x:c r="H5" s="53"/>
    </x:row>
    <x:row r="6">
      <x:c r="A6" s="60" t="str">
        <x:v>母猪</x:v>
      </x:c>
      <x:c r="B6" s="60" t="str">
        <x:v>年均母猪数（头）</x:v>
      </x:c>
      <x:c r="C6" s="71" t="n">
        <x:v>888</x:v>
      </x:c>
      <x:c r="D6" s="71" t="n">
        <x:v>814</x:v>
      </x:c>
      <x:c r="E6" s="53"/>
      <x:c r="F6" s="53"/>
      <x:c r="G6" s="53"/>
      <x:c r="H6" s="53"/>
    </x:row>
    <x:row r="7">
      <x:c r="A7" s="60" t="str">
        <x:v>母猪</x:v>
      </x:c>
      <x:c r="B7" s="60" t="str">
        <x:v>断奶仔猪（头/年母猪）</x:v>
      </x:c>
      <x:c r="C7" s="71" t="n">
        <x:v>36.2</x:v>
      </x:c>
      <x:c r="D7" s="71" t="n">
        <x:v>38.6</x:v>
      </x:c>
      <x:c r="E7" s="53"/>
      <x:c r="F7" s="53"/>
      <x:c r="G7" s="53"/>
      <x:c r="H7" s="53"/>
    </x:row>
    <x:row r="8">
      <x:c r="A8" s="60" t="str">
        <x:v>母猪</x:v>
      </x:c>
      <x:c r="B8" s="60" t="str">
        <x:v>母猪料（FEso/年母猪）</x:v>
      </x:c>
      <x:c r="C8" s="71" t="n">
        <x:v>1545</x:v>
      </x:c>
      <x:c r="D8" s="71" t="n">
        <x:v>1549</x:v>
      </x:c>
      <x:c r="E8" s="53"/>
      <x:c r="F8" s="53"/>
      <x:c r="G8" s="53"/>
      <x:c r="H8" s="53"/>
    </x:row>
    <x:row r="9">
      <x:c r="A9" s="60" t="str">
        <x:v>保育 7–32kg</x:v>
      </x:c>
      <x:c r="B9" s="60" t="str">
        <x:v>年生产量（头）</x:v>
      </x:c>
      <x:c r="C9" s="71" t="n">
        <x:v>29891</x:v>
      </x:c>
      <x:c r="D9" s="71" t="n">
        <x:v>34349</x:v>
      </x:c>
      <x:c r="E9" s="53"/>
      <x:c r="F9" s="53"/>
      <x:c r="G9" s="53"/>
      <x:c r="H9" s="53"/>
    </x:row>
    <x:row r="10">
      <x:c r="A10" s="60" t="str">
        <x:v>保育 7–32kg</x:v>
      </x:c>
      <x:c r="B10" s="60" t="str">
        <x:v>料肉比（FEsv/kg增重）</x:v>
      </x:c>
      <x:c r="C10" s="71" t="n">
        <x:v>1.73</x:v>
      </x:c>
      <x:c r="D10" s="71" t="n">
        <x:v>1.65</x:v>
      </x:c>
      <x:c r="E10" s="53"/>
      <x:c r="F10" s="53"/>
      <x:c r="G10" s="53"/>
      <x:c r="H10" s="53"/>
    </x:row>
    <x:row r="11">
      <x:c r="A11" s="60" t="str">
        <x:v>保育 7–32kg</x:v>
      </x:c>
      <x:c r="B11" s="60" t="str">
        <x:v>日增重（g/天）</x:v>
      </x:c>
      <x:c r="C11" s="71" t="n">
        <x:v>477</x:v>
      </x:c>
      <x:c r="D11" s="71" t="n">
        <x:v>504</x:v>
      </x:c>
      <x:c r="E11" s="53"/>
      <x:c r="F11" s="53"/>
      <x:c r="G11" s="53"/>
      <x:c r="H11" s="53"/>
    </x:row>
    <x:row r="12">
      <x:c r="A12" s="60" t="str">
        <x:v>保育 7–32kg</x:v>
      </x:c>
      <x:c r="B12" s="60" t="str">
        <x:v>死亡率</x:v>
      </x:c>
      <x:c r="C12" s="63" t="n">
        <x:v>0.039</x:v>
      </x:c>
      <x:c r="D12" s="63" t="n">
        <x:v>0.026</x:v>
      </x:c>
      <x:c r="E12" s="53"/>
      <x:c r="F12" s="53"/>
      <x:c r="G12" s="53"/>
      <x:c r="H12" s="53"/>
    </x:row>
    <x:row r="13">
      <x:c r="A13" s="60" t="str">
        <x:v>育肥 32kg至出栏</x:v>
      </x:c>
      <x:c r="B13" s="60" t="str">
        <x:v>年生产量（头）</x:v>
      </x:c>
      <x:c r="C13" s="71" t="n">
        <x:v>8451</x:v>
      </x:c>
      <x:c r="D13" s="71" t="n">
        <x:v>8743</x:v>
      </x:c>
      <x:c r="E13" s="53"/>
      <x:c r="F13" s="53"/>
      <x:c r="G13" s="53"/>
      <x:c r="H13" s="53"/>
    </x:row>
    <x:row r="14">
      <x:c r="A14" s="60" t="str">
        <x:v>育肥 32kg至出栏</x:v>
      </x:c>
      <x:c r="B14" s="60" t="str">
        <x:v>料肉比（FEsv/kg增重）</x:v>
      </x:c>
      <x:c r="C14" s="71" t="n">
        <x:v>2.59</x:v>
      </x:c>
      <x:c r="D14" s="71" t="n">
        <x:v>2.46</x:v>
      </x:c>
      <x:c r="E14" s="53"/>
      <x:c r="F14" s="53"/>
      <x:c r="G14" s="53"/>
      <x:c r="H14" s="53"/>
    </x:row>
    <x:row r="15">
      <x:c r="A15" s="60" t="str">
        <x:v>育肥 32kg至出栏</x:v>
      </x:c>
      <x:c r="B15" s="60" t="str">
        <x:v>日增重（g/天）</x:v>
      </x:c>
      <x:c r="C15" s="71" t="n">
        <x:v>1087</x:v>
      </x:c>
      <x:c r="D15" s="71" t="n">
        <x:v>1137</x:v>
      </x:c>
      <x:c r="E15" s="53"/>
      <x:c r="F15" s="53"/>
      <x:c r="G15" s="53"/>
      <x:c r="H15" s="53"/>
    </x:row>
    <x:row r="16">
      <x:c r="A16" s="60" t="str">
        <x:v>育肥 32kg至出栏</x:v>
      </x:c>
      <x:c r="B16" s="60" t="str">
        <x:v>死亡率</x:v>
      </x:c>
      <x:c r="C16" s="63" t="n">
        <x:v>0.034</x:v>
      </x:c>
      <x:c r="D16" s="63" t="n">
        <x:v>0.023</x:v>
      </x:c>
      <x:c r="E16" s="53"/>
      <x:c r="F16" s="53"/>
      <x:c r="G16" s="53"/>
      <x:c r="H16" s="53"/>
    </x:row>
    <x:row r="17">
      <x:c r="A17" s="53"/>
      <x:c r="B17" s="53"/>
      <x:c r="C17" s="53"/>
      <x:c r="D17" s="53"/>
      <x:c r="E17" s="53"/>
      <x:c r="F17" s="53"/>
      <x:c r="G17" s="53"/>
      <x:c r="H17" s="53"/>
    </x:row>
    <x:row r="18">
      <x:c r="A18" s="58" t="str">
        <x:v>成本结构｜全体平均与最佳1/3</x:v>
      </x:c>
      <x:c r="B18" s="58"/>
      <x:c r="C18" s="58"/>
      <x:c r="D18" s="58"/>
      <x:c r="E18" s="58"/>
      <x:c r="F18" s="58"/>
      <x:c r="G18" s="58"/>
      <x:c r="H18" s="58"/>
    </x:row>
    <x:row r="19">
      <x:c r="A19" s="59" t="str">
        <x:v>业务环节</x:v>
      </x:c>
      <x:c r="B19" s="59" t="str">
        <x:v>成本层级</x:v>
      </x:c>
      <x:c r="C19" s="59" t="str">
        <x:v>单位</x:v>
      </x:c>
      <x:c r="D19" s="59" t="str">
        <x:v>全体平均</x:v>
      </x:c>
      <x:c r="E19" s="59" t="str">
        <x:v>最佳1/3</x:v>
      </x:c>
      <x:c r="F19" s="53"/>
      <x:c r="G19" s="53"/>
      <x:c r="H19" s="53"/>
    </x:row>
    <x:row r="20">
      <x:c r="A20" s="60" t="str">
        <x:v>母猪至7kg</x:v>
      </x:c>
      <x:c r="B20" s="60" t="str">
        <x:v>直接成本</x:v>
      </x:c>
      <x:c r="C20" s="60" t="str">
        <x:v>DKK/年母猪</x:v>
      </x:c>
      <x:c r="D20" s="70" t="n">
        <x:v>4209</x:v>
      </x:c>
      <x:c r="E20" s="70" t="n">
        <x:v>4059</x:v>
      </x:c>
      <x:c r="F20" s="53"/>
      <x:c r="G20" s="53"/>
      <x:c r="H20" s="53"/>
    </x:row>
    <x:row r="21">
      <x:c r="A21" s="60" t="str">
        <x:v>母猪至7kg</x:v>
      </x:c>
      <x:c r="B21" s="60" t="str">
        <x:v>现金能力成本</x:v>
      </x:c>
      <x:c r="C21" s="60" t="str">
        <x:v>DKK/年母猪</x:v>
      </x:c>
      <x:c r="D21" s="70" t="n">
        <x:v>2754</x:v>
      </x:c>
      <x:c r="E21" s="70" t="n">
        <x:v>2288</x:v>
      </x:c>
      <x:c r="F21" s="53"/>
      <x:c r="G21" s="53"/>
      <x:c r="H21" s="53"/>
    </x:row>
    <x:row r="22">
      <x:c r="A22" s="60" t="str">
        <x:v>母猪至7kg</x:v>
      </x:c>
      <x:c r="B22" s="60" t="str">
        <x:v>资本成本</x:v>
      </x:c>
      <x:c r="C22" s="60" t="str">
        <x:v>DKK/年母猪</x:v>
      </x:c>
      <x:c r="D22" s="70" t="n">
        <x:v>1110</x:v>
      </x:c>
      <x:c r="E22" s="70" t="n">
        <x:v>1125</x:v>
      </x:c>
      <x:c r="F22" s="53"/>
      <x:c r="G22" s="53"/>
      <x:c r="H22" s="53"/>
    </x:row>
    <x:row r="23">
      <x:c r="A23" s="72" t="str">
        <x:v>母猪至7kg</x:v>
      </x:c>
      <x:c r="B23" s="72" t="str">
        <x:v>合计</x:v>
      </x:c>
      <x:c r="C23" s="72" t="str">
        <x:v>DKK/年母猪</x:v>
      </x:c>
      <x:c r="D23" s="73" t="n">
        <x:f>SUM(D20:D22)</x:f>
        <x:v>8073</x:v>
      </x:c>
      <x:c r="E23" s="73" t="n">
        <x:f>SUM(E20:E22)</x:f>
        <x:v>7472</x:v>
      </x:c>
      <x:c r="F23" s="53"/>
      <x:c r="G23" s="53"/>
      <x:c r="H23" s="53"/>
    </x:row>
    <x:row r="24">
      <x:c r="A24" s="60" t="str">
        <x:v>母猪至30kg</x:v>
      </x:c>
      <x:c r="B24" s="60" t="str">
        <x:v>直接成本</x:v>
      </x:c>
      <x:c r="C24" s="60" t="str">
        <x:v>DKK/年母猪</x:v>
      </x:c>
      <x:c r="D24" s="70" t="n">
        <x:v>8146</x:v>
      </x:c>
      <x:c r="E24" s="70" t="n">
        <x:v>8180</x:v>
      </x:c>
      <x:c r="F24" s="53"/>
      <x:c r="G24" s="53"/>
      <x:c r="H24" s="53"/>
    </x:row>
    <x:row r="25">
      <x:c r="A25" s="60" t="str">
        <x:v>母猪至30kg</x:v>
      </x:c>
      <x:c r="B25" s="60" t="str">
        <x:v>现金能力成本</x:v>
      </x:c>
      <x:c r="C25" s="60" t="str">
        <x:v>DKK/年母猪</x:v>
      </x:c>
      <x:c r="D25" s="70" t="n">
        <x:v>4434</x:v>
      </x:c>
      <x:c r="E25" s="70" t="n">
        <x:v>4363</x:v>
      </x:c>
      <x:c r="F25" s="53"/>
      <x:c r="G25" s="53"/>
      <x:c r="H25" s="53"/>
    </x:row>
    <x:row r="26">
      <x:c r="A26" s="60" t="str">
        <x:v>母猪至30kg</x:v>
      </x:c>
      <x:c r="B26" s="60" t="str">
        <x:v>资本成本</x:v>
      </x:c>
      <x:c r="C26" s="60" t="str">
        <x:v>DKK/年母猪</x:v>
      </x:c>
      <x:c r="D26" s="70" t="n">
        <x:v>1752</x:v>
      </x:c>
      <x:c r="E26" s="70" t="n">
        <x:v>1660</x:v>
      </x:c>
      <x:c r="F26" s="53"/>
      <x:c r="G26" s="53"/>
      <x:c r="H26" s="53"/>
    </x:row>
    <x:row r="27">
      <x:c r="A27" s="72" t="str">
        <x:v>母猪至30kg</x:v>
      </x:c>
      <x:c r="B27" s="72" t="str">
        <x:v>合计</x:v>
      </x:c>
      <x:c r="C27" s="72" t="str">
        <x:v>DKK/年母猪</x:v>
      </x:c>
      <x:c r="D27" s="73" t="n">
        <x:f>SUM(D24:D26)</x:f>
        <x:v>14332</x:v>
      </x:c>
      <x:c r="E27" s="73" t="n">
        <x:f>SUM(E24:E26)</x:f>
        <x:v>14203</x:v>
      </x:c>
      <x:c r="F27" s="53"/>
      <x:c r="G27" s="53"/>
      <x:c r="H27" s="53"/>
    </x:row>
    <x:row r="28">
      <x:c r="A28" s="60" t="str">
        <x:v>保育7–32kg</x:v>
      </x:c>
      <x:c r="B28" s="60" t="str">
        <x:v>直接成本</x:v>
      </x:c>
      <x:c r="C28" s="60" t="str">
        <x:v>DKK/头</x:v>
      </x:c>
      <x:c r="D28" s="70" t="n">
        <x:v>111</x:v>
      </x:c>
      <x:c r="E28" s="70" t="n">
        <x:v>103</x:v>
      </x:c>
      <x:c r="F28" s="53"/>
      <x:c r="G28" s="53"/>
      <x:c r="H28" s="53"/>
    </x:row>
    <x:row r="29">
      <x:c r="A29" s="60" t="str">
        <x:v>保育7–32kg</x:v>
      </x:c>
      <x:c r="B29" s="60" t="str">
        <x:v>现金能力成本</x:v>
      </x:c>
      <x:c r="C29" s="60" t="str">
        <x:v>DKK/头</x:v>
      </x:c>
      <x:c r="D29" s="70" t="n">
        <x:v>49</x:v>
      </x:c>
      <x:c r="E29" s="70" t="n">
        <x:v>40</x:v>
      </x:c>
      <x:c r="F29" s="53"/>
      <x:c r="G29" s="53"/>
      <x:c r="H29" s="53"/>
    </x:row>
    <x:row r="30">
      <x:c r="A30" s="60" t="str">
        <x:v>保育7–32kg</x:v>
      </x:c>
      <x:c r="B30" s="60" t="str">
        <x:v>资本成本</x:v>
      </x:c>
      <x:c r="C30" s="60" t="str">
        <x:v>DKK/头</x:v>
      </x:c>
      <x:c r="D30" s="70" t="n">
        <x:v>23</x:v>
      </x:c>
      <x:c r="E30" s="70" t="n">
        <x:v>17</x:v>
      </x:c>
      <x:c r="F30" s="53"/>
      <x:c r="G30" s="53"/>
      <x:c r="H30" s="53"/>
    </x:row>
    <x:row r="31">
      <x:c r="A31" s="72" t="str">
        <x:v>保育7–32kg</x:v>
      </x:c>
      <x:c r="B31" s="72" t="str">
        <x:v>合计</x:v>
      </x:c>
      <x:c r="C31" s="72" t="str">
        <x:v>DKK/头</x:v>
      </x:c>
      <x:c r="D31" s="73" t="n">
        <x:f>SUM(D28:D30)</x:f>
        <x:v>183</x:v>
      </x:c>
      <x:c r="E31" s="73" t="n">
        <x:f>SUM(E28:E30)</x:f>
        <x:v>160</x:v>
      </x:c>
      <x:c r="F31" s="53"/>
      <x:c r="G31" s="53"/>
      <x:c r="H31" s="53"/>
    </x:row>
    <x:row r="32">
      <x:c r="A32" s="60" t="str">
        <x:v>育肥32kg至出栏</x:v>
      </x:c>
      <x:c r="B32" s="60" t="str">
        <x:v>直接成本</x:v>
      </x:c>
      <x:c r="C32" s="60" t="str">
        <x:v>DKK/头</x:v>
      </x:c>
      <x:c r="D32" s="70" t="n">
        <x:v>440</x:v>
      </x:c>
      <x:c r="E32" s="70" t="n">
        <x:v>420</x:v>
      </x:c>
      <x:c r="F32" s="53"/>
      <x:c r="G32" s="53"/>
      <x:c r="H32" s="53"/>
    </x:row>
    <x:row r="33">
      <x:c r="A33" s="60" t="str">
        <x:v>育肥32kg至出栏</x:v>
      </x:c>
      <x:c r="B33" s="60" t="str">
        <x:v>现金能力成本</x:v>
      </x:c>
      <x:c r="C33" s="60" t="str">
        <x:v>DKK/头</x:v>
      </x:c>
      <x:c r="D33" s="70" t="n">
        <x:v>88</x:v>
      </x:c>
      <x:c r="E33" s="70" t="n">
        <x:v>82</x:v>
      </x:c>
      <x:c r="F33" s="53"/>
      <x:c r="G33" s="53"/>
      <x:c r="H33" s="53"/>
    </x:row>
    <x:row r="34">
      <x:c r="A34" s="60" t="str">
        <x:v>育肥32kg至出栏</x:v>
      </x:c>
      <x:c r="B34" s="60" t="str">
        <x:v>资本成本</x:v>
      </x:c>
      <x:c r="C34" s="60" t="str">
        <x:v>DKK/头</x:v>
      </x:c>
      <x:c r="D34" s="70" t="n">
        <x:v>62</x:v>
      </x:c>
      <x:c r="E34" s="70" t="n">
        <x:v>56</x:v>
      </x:c>
      <x:c r="F34" s="53"/>
      <x:c r="G34" s="53"/>
      <x:c r="H34" s="53"/>
    </x:row>
    <x:row r="35">
      <x:c r="A35" s="72" t="str">
        <x:v>育肥32kg至出栏</x:v>
      </x:c>
      <x:c r="B35" s="72" t="str">
        <x:v>合计</x:v>
      </x:c>
      <x:c r="C35" s="72" t="str">
        <x:v>DKK/头</x:v>
      </x:c>
      <x:c r="D35" s="73" t="n">
        <x:f>SUM(D32:D34)</x:f>
        <x:v>590</x:v>
      </x:c>
      <x:c r="E35" s="73" t="n">
        <x:f>SUM(E32:E34)</x:f>
        <x:v>558</x:v>
      </x:c>
      <x:c r="F35" s="53"/>
      <x:c r="G35" s="53"/>
      <x:c r="H35" s="53"/>
    </x:row>
    <x:row r="36">
      <x:c r="A36" s="53"/>
      <x:c r="B36" s="53"/>
      <x:c r="C36" s="53"/>
      <x:c r="D36" s="53"/>
      <x:c r="E36" s="53"/>
      <x:c r="F36" s="53"/>
      <x:c r="G36" s="53"/>
      <x:c r="H36" s="53"/>
    </x:row>
    <x:row r="37">
      <x:c r="A37" s="58" t="str">
        <x:v>育肥成本构成｜32kg至出栏</x:v>
      </x:c>
      <x:c r="B37" s="58"/>
      <x:c r="C37" s="58"/>
      <x:c r="D37" s="58"/>
      <x:c r="E37" s="58"/>
      <x:c r="F37" s="58"/>
      <x:c r="G37" s="58"/>
      <x:c r="H37" s="58"/>
    </x:row>
    <x:row r="38">
      <x:c r="A38" s="59" t="str">
        <x:v>项目</x:v>
      </x:c>
      <x:c r="B38" s="59" t="str">
        <x:v>全体平均（DKK/头）</x:v>
      </x:c>
      <x:c r="C38" s="59" t="str">
        <x:v>最佳1/3（DKK/头）</x:v>
      </x:c>
      <x:c r="D38" s="59" t="str">
        <x:v>说明</x:v>
      </x:c>
      <x:c r="E38" s="53"/>
      <x:c r="F38" s="53"/>
      <x:c r="G38" s="53"/>
      <x:c r="H38" s="53"/>
    </x:row>
    <x:row r="39">
      <x:c r="A39" s="60" t="str">
        <x:v>饲料</x:v>
      </x:c>
      <x:c r="B39" s="70" t="n">
        <x:v>426</x:v>
      </x:c>
      <x:c r="C39" s="70" t="n">
        <x:v>407</x:v>
      </x:c>
      <x:c r="D39" s="60" t="str">
        <x:v>按1.93 DKK/FEsv</x:v>
      </x:c>
      <x:c r="E39" s="53"/>
      <x:c r="F39" s="53"/>
      <x:c r="G39" s="53"/>
      <x:c r="H39" s="53"/>
    </x:row>
    <x:row r="40">
      <x:c r="A40" s="60" t="str">
        <x:v>兽医和药物</x:v>
      </x:c>
      <x:c r="B40" s="70" t="n">
        <x:v>7</x:v>
      </x:c>
      <x:c r="C40" s="70" t="n">
        <x:v>6</x:v>
      </x:c>
      <x:c r="D40" s="60" t="str"/>
      <x:c r="E40" s="53"/>
      <x:c r="F40" s="53"/>
      <x:c r="G40" s="53"/>
      <x:c r="H40" s="53"/>
    </x:row>
    <x:row r="41">
      <x:c r="A41" s="60" t="str">
        <x:v>其他直接成本</x:v>
      </x:c>
      <x:c r="B41" s="70" t="n">
        <x:v>7</x:v>
      </x:c>
      <x:c r="C41" s="70" t="n">
        <x:v>7</x:v>
      </x:c>
      <x:c r="D41" s="60" t="str"/>
      <x:c r="E41" s="53"/>
      <x:c r="F41" s="53"/>
      <x:c r="G41" s="53"/>
      <x:c r="H41" s="53"/>
    </x:row>
    <x:row r="42">
      <x:c r="A42" s="60" t="str">
        <x:v>直接成本合计</x:v>
      </x:c>
      <x:c r="B42" s="70" t="n">
        <x:v>440</x:v>
      </x:c>
      <x:c r="C42" s="70" t="n">
        <x:v>420</x:v>
      </x:c>
      <x:c r="D42" s="60" t="str"/>
      <x:c r="E42" s="53"/>
      <x:c r="F42" s="53"/>
      <x:c r="G42" s="53"/>
      <x:c r="H42" s="53"/>
    </x:row>
    <x:row r="43">
      <x:c r="A43" s="60" t="str">
        <x:v>能源</x:v>
      </x:c>
      <x:c r="B43" s="70" t="n">
        <x:v>13</x:v>
      </x:c>
      <x:c r="C43" s="70" t="n">
        <x:v>12</x:v>
      </x:c>
      <x:c r="D43" s="60" t="str"/>
      <x:c r="E43" s="53"/>
      <x:c r="F43" s="53"/>
      <x:c r="G43" s="53"/>
      <x:c r="H43" s="53"/>
    </x:row>
    <x:row r="44">
      <x:c r="A44" s="60" t="str">
        <x:v>维护</x:v>
      </x:c>
      <x:c r="B44" s="70" t="n">
        <x:v>17</x:v>
      </x:c>
      <x:c r="C44" s="70" t="n">
        <x:v>15</x:v>
      </x:c>
      <x:c r="D44" s="60" t="str"/>
      <x:c r="E44" s="53"/>
      <x:c r="F44" s="53"/>
      <x:c r="G44" s="53"/>
      <x:c r="H44" s="53"/>
    </x:row>
    <x:row r="45">
      <x:c r="A45" s="60" t="str">
        <x:v>人工与业主报酬</x:v>
      </x:c>
      <x:c r="B45" s="70" t="n">
        <x:v>40</x:v>
      </x:c>
      <x:c r="C45" s="70" t="n">
        <x:v>39</x:v>
      </x:c>
      <x:c r="D45" s="60" t="str">
        <x:v>人工28/29，业主12/10</x:v>
      </x:c>
      <x:c r="E45" s="53"/>
      <x:c r="F45" s="53"/>
      <x:c r="G45" s="53"/>
      <x:c r="H45" s="53"/>
    </x:row>
    <x:row r="46">
      <x:c r="A46" s="60" t="str">
        <x:v>现金能力成本合计</x:v>
      </x:c>
      <x:c r="B46" s="70" t="n">
        <x:v>88</x:v>
      </x:c>
      <x:c r="C46" s="70" t="n">
        <x:v>82</x:v>
      </x:c>
      <x:c r="D46" s="60" t="str"/>
      <x:c r="E46" s="53"/>
      <x:c r="F46" s="53"/>
      <x:c r="G46" s="53"/>
      <x:c r="H46" s="53"/>
    </x:row>
    <x:row r="47">
      <x:c r="A47" s="60" t="str">
        <x:v>资本成本合计</x:v>
      </x:c>
      <x:c r="B47" s="70" t="n">
        <x:v>62</x:v>
      </x:c>
      <x:c r="C47" s="70" t="n">
        <x:v>56</x:v>
      </x:c>
      <x:c r="D47" s="60" t="str"/>
      <x:c r="E47" s="53"/>
      <x:c r="F47" s="53"/>
      <x:c r="G47" s="53"/>
      <x:c r="H47" s="53"/>
    </x:row>
    <x:row r="48">
      <x:c r="A48" s="53"/>
      <x:c r="B48" s="53"/>
      <x:c r="C48" s="53"/>
      <x:c r="D48" s="53"/>
      <x:c r="E48" s="53"/>
      <x:c r="F48" s="53"/>
      <x:c r="G48" s="53"/>
      <x:c r="H48" s="53"/>
    </x:row>
    <x:row r="49">
      <x:c r="A49" s="69" t="str">
        <x:v>使用边界：成本表未含土地和农机利息；自配料通常低于采购全价料，需按本场情况调整。不要把“最佳1/3”成本差异简单归因于遗传，场舍、饲料、规模和管理都会影响结果。</x:v>
      </x:c>
      <x:c r="B49" s="69"/>
      <x:c r="C49" s="69"/>
      <x:c r="D49" s="69"/>
      <x:c r="E49" s="69"/>
      <x:c r="F49" s="69"/>
      <x:c r="G49" s="69"/>
      <x:c r="H49" s="69"/>
    </x:row>
    <x:row r="50">
      <x:c r="A50" s="69"/>
      <x:c r="B50" s="69"/>
      <x:c r="C50" s="69"/>
      <x:c r="D50" s="69"/>
      <x:c r="E50" s="69"/>
      <x:c r="F50" s="69"/>
      <x:c r="G50" s="69"/>
      <x:c r="H50" s="69"/>
    </x:row>
    <x:row r="51">
      <x:c r="A51" s="69"/>
      <x:c r="B51" s="69"/>
      <x:c r="C51" s="69"/>
      <x:c r="D51" s="69"/>
      <x:c r="E51" s="69"/>
      <x:c r="F51" s="69"/>
      <x:c r="G51" s="69"/>
      <x:c r="H51" s="69"/>
    </x:row>
    <x:row r="52">
      <x:c r="A52" s="69"/>
      <x:c r="B52" s="69"/>
      <x:c r="C52" s="69"/>
      <x:c r="D52" s="69"/>
      <x:c r="E52" s="69"/>
      <x:c r="F52" s="69"/>
      <x:c r="G52" s="69"/>
      <x:c r="H52" s="69"/>
    </x:row>
  </x:sheetData>
  <x:mergeCells>
    <x:mergeCell ref="A1:H1"/>
    <x:mergeCell ref="A2:H2"/>
    <x:mergeCell ref="A4:H4"/>
    <x:mergeCell ref="A18:H18"/>
    <x:mergeCell ref="A37:H37"/>
    <x:mergeCell ref="A49:H5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40" hidden="0" customWidth="1"/>
  </x:cols>
  <x:sheetData>
    <x:row r="1" ht="30" customHeight="1">
      <x:c r="A1" s="76" t="str">
        <x:v>育种、肉质与胴体表现｜证据分级展示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54" t="str">
        <x:v>先看商业场可比KPI，再看官网肉质展示值和育种目标。不同来源、体重段和测定方法不可直接混合。</x:v>
      </x:c>
      <x:c r="B2" s="53"/>
      <x:c r="C2" s="53"/>
      <x:c r="D2" s="53"/>
      <x:c r="E2" s="53"/>
      <x:c r="F2" s="53"/>
      <x:c r="G2" s="53"/>
      <x:c r="H2" s="53"/>
    </x:row>
    <x:row r="3">
      <x:c r="A3" s="53"/>
      <x:c r="B3" s="53"/>
      <x:c r="C3" s="53"/>
      <x:c r="D3" s="53"/>
      <x:c r="E3" s="53"/>
      <x:c r="F3" s="53"/>
      <x:c r="G3" s="53"/>
      <x:c r="H3" s="53"/>
    </x:row>
    <x:row r="4">
      <x:c r="A4" s="58" t="str">
        <x:v>DanBred商业场｜2024可比胴体与生产KPI</x:v>
      </x:c>
      <x:c r="B4" s="58"/>
      <x:c r="C4" s="58"/>
      <x:c r="D4" s="58"/>
      <x:c r="E4" s="58"/>
      <x:c r="F4" s="58"/>
      <x:c r="G4" s="58"/>
      <x:c r="H4" s="58"/>
    </x:row>
    <x:row r="5">
      <x:c r="A5" s="59" t="str">
        <x:v>指标</x:v>
      </x:c>
      <x:c r="B5" s="59" t="str">
        <x:v>单位</x:v>
      </x:c>
      <x:c r="C5" s="59" t="str">
        <x:v>DanBred平均</x:v>
      </x:c>
      <x:c r="D5" s="59" t="str">
        <x:v>DanBred前10%</x:v>
      </x:c>
      <x:c r="E5" s="59" t="str">
        <x:v>全国2024参考</x:v>
      </x:c>
      <x:c r="F5" s="59" t="str">
        <x:v>证据等级</x:v>
      </x:c>
      <x:c r="G5" s="59" t="str">
        <x:v>解释</x:v>
      </x:c>
      <x:c r="H5" s="53"/>
    </x:row>
    <x:row r="6">
      <x:c r="A6" s="60" t="str">
        <x:v>胴体重</x:v>
      </x:c>
      <x:c r="B6" s="60" t="str">
        <x:v>kg</x:v>
      </x:c>
      <x:c r="C6" s="61" t="n">
        <x:v>90.3</x:v>
      </x:c>
      <x:c r="D6" s="61" t="n">
        <x:v>91.3</x:v>
      </x:c>
      <x:c r="E6" s="61" t="n">
        <x:v>90.6</x:v>
      </x:c>
      <x:c r="F6" s="60" t="str">
        <x:v>高</x:v>
      </x:c>
      <x:c r="G6" s="60" t="str">
        <x:v>商业场报告；前10%按每栏位生产价值排序</x:v>
      </x:c>
      <x:c r="H6" s="53"/>
    </x:row>
    <x:row r="7">
      <x:c r="A7" s="60" t="str">
        <x:v>记录瘦肉率</x:v>
      </x:c>
      <x:c r="B7" s="60" t="str">
        <x:v>%</x:v>
      </x:c>
      <x:c r="C7" s="63" t="n">
        <x:v>0.597</x:v>
      </x:c>
      <x:c r="D7" s="63" t="n">
        <x:v>0.598</x:v>
      </x:c>
      <x:c r="E7" s="63" t="n">
        <x:v>0.595</x:v>
      </x:c>
      <x:c r="F7" s="60" t="str">
        <x:v>高</x:v>
      </x:c>
      <x:c r="G7" s="60" t="str">
        <x:v>报告提供校正前数值</x:v>
      </x:c>
      <x:c r="H7" s="53"/>
    </x:row>
    <x:row r="8">
      <x:c r="A8" s="60" t="str">
        <x:v>校正瘦肉率</x:v>
      </x:c>
      <x:c r="B8" s="60" t="str">
        <x:v>%</x:v>
      </x:c>
      <x:c r="C8" s="63" t="n">
        <x:v>0.597</x:v>
      </x:c>
      <x:c r="D8" s="63" t="n">
        <x:v>0.598</x:v>
      </x:c>
      <x:c r="E8" s="63" t="n">
        <x:v>0.595</x:v>
      </x:c>
      <x:c r="F8" s="60" t="str">
        <x:v>高</x:v>
      </x:c>
      <x:c r="G8" s="60" t="str">
        <x:v>2024校正值为0；跨年需按报告校正法处理</x:v>
      </x:c>
      <x:c r="H8" s="53"/>
    </x:row>
    <x:row r="9">
      <x:c r="A9" s="60" t="str">
        <x:v>日增重</x:v>
      </x:c>
      <x:c r="B9" s="60" t="str">
        <x:v>g/天</x:v>
      </x:c>
      <x:c r="C9" s="70" t="n">
        <x:v>1081</x:v>
      </x:c>
      <x:c r="D9" s="70" t="n">
        <x:v>1161</x:v>
      </x:c>
      <x:c r="E9" s="70" t="n">
        <x:v>1077</x:v>
      </x:c>
      <x:c r="F9" s="60" t="str">
        <x:v>高</x:v>
      </x:c>
      <x:c r="G9" s="60" t="str">
        <x:v>实际平均</x:v>
      </x:c>
      <x:c r="H9" s="53"/>
    </x:row>
    <x:row r="10">
      <x:c r="A10" s="60" t="str">
        <x:v>校正日增重（30–115kg）</x:v>
      </x:c>
      <x:c r="B10" s="60" t="str">
        <x:v>g/天</x:v>
      </x:c>
      <x:c r="C10" s="70" t="n">
        <x:v>1080</x:v>
      </x:c>
      <x:c r="D10" s="70" t="n">
        <x:v>1162</x:v>
      </x:c>
      <x:c r="E10" s="70" t="n">
        <x:v>1076</x:v>
      </x:c>
      <x:c r="F10" s="60" t="str">
        <x:v>高</x:v>
      </x:c>
      <x:c r="G10" s="60" t="str">
        <x:v>标准体重段</x:v>
      </x:c>
      <x:c r="H10" s="53"/>
    </x:row>
    <x:row r="11">
      <x:c r="A11" s="60" t="str">
        <x:v>校正料肉比（30–115kg）</x:v>
      </x:c>
      <x:c r="B11" s="60" t="str">
        <x:v>FEsv/kg</x:v>
      </x:c>
      <x:c r="C11" s="67" t="n">
        <x:v>2.55</x:v>
      </x:c>
      <x:c r="D11" s="67" t="n">
        <x:v>2.39</x:v>
      </x:c>
      <x:c r="E11" s="67" t="n">
        <x:v>2.57</x:v>
      </x:c>
      <x:c r="F11" s="60" t="str">
        <x:v>高</x:v>
      </x:c>
      <x:c r="G11" s="60" t="str">
        <x:v>标准体重段</x:v>
      </x:c>
      <x:c r="H11" s="53"/>
    </x:row>
    <x:row r="12">
      <x:c r="A12" s="60" t="str">
        <x:v>死亡及废弃率</x:v>
      </x:c>
      <x:c r="B12" s="60" t="str">
        <x:v>%</x:v>
      </x:c>
      <x:c r="C12" s="63" t="n">
        <x:v>0.031</x:v>
      </x:c>
      <x:c r="D12" s="63" t="n">
        <x:v>0.024</x:v>
      </x:c>
      <x:c r="E12" s="63" t="n">
        <x:v>0.034</x:v>
      </x:c>
      <x:c r="F12" s="60" t="str">
        <x:v>高</x:v>
      </x:c>
      <x:c r="G12" s="60" t="str">
        <x:v>低值更好</x:v>
      </x:c>
      <x:c r="H12" s="53"/>
    </x:row>
    <x:row r="13">
      <x:c r="A13" s="60" t="str">
        <x:v>栏位年生产价值</x:v>
      </x:c>
      <x:c r="B13" s="60" t="str">
        <x:v>DKK/栏位/年</x:v>
      </x:c>
      <x:c r="C13" s="70" t="n">
        <x:v>805</x:v>
      </x:c>
      <x:c r="D13" s="70" t="n">
        <x:v>1053</x:v>
      </x:c>
      <x:c r="E13" s="61"/>
      <x:c r="F13" s="60" t="str">
        <x:v>中</x:v>
      </x:c>
      <x:c r="G13" s="60" t="str">
        <x:v>采用固定价格假设的比较值，不是实际利润</x:v>
      </x:c>
      <x:c r="H13" s="53"/>
    </x:row>
    <x:row r="14">
      <x:c r="A14" s="53"/>
      <x:c r="B14" s="53"/>
      <x:c r="C14" s="53"/>
      <x:c r="D14" s="53"/>
      <x:c r="E14" s="53"/>
      <x:c r="F14" s="53"/>
      <x:c r="G14" s="53"/>
      <x:c r="H14" s="53"/>
    </x:row>
    <x:row r="15">
      <x:c r="A15" s="58" t="str">
        <x:v>肉质展示值与育种目标｜不等同于全国平均</x:v>
      </x:c>
      <x:c r="B15" s="58"/>
      <x:c r="C15" s="58"/>
      <x:c r="D15" s="58"/>
      <x:c r="E15" s="58"/>
      <x:c r="F15" s="58"/>
      <x:c r="G15" s="58"/>
      <x:c r="H15" s="58"/>
    </x:row>
    <x:row r="16">
      <x:c r="A16" s="59" t="str">
        <x:v>层级</x:v>
      </x:c>
      <x:c r="B16" s="59" t="str">
        <x:v>指标</x:v>
      </x:c>
      <x:c r="C16" s="59" t="str">
        <x:v>公开值/方向</x:v>
      </x:c>
      <x:c r="D16" s="59" t="str">
        <x:v>单位</x:v>
      </x:c>
      <x:c r="E16" s="59" t="str">
        <x:v>来源等级</x:v>
      </x:c>
      <x:c r="F16" s="59" t="str">
        <x:v>可否与全国平均对比</x:v>
      </x:c>
      <x:c r="G16" s="59" t="str">
        <x:v>限制</x:v>
      </x:c>
      <x:c r="H16" s="53"/>
    </x:row>
    <x:row r="17">
      <x:c r="A17" s="60" t="str">
        <x:v>官网产品页</x:v>
      </x:c>
      <x:c r="B17" s="60" t="str">
        <x:v>肌内脂肪</x:v>
      </x:c>
      <x:c r="C17" s="74" t="n">
        <x:v>0.0257</x:v>
      </x:c>
      <x:c r="D17" s="60" t="str">
        <x:v>%</x:v>
      </x:c>
      <x:c r="E17" s="60" t="str">
        <x:v>中</x:v>
      </x:c>
      <x:c r="F17" s="60" t="str">
        <x:v>否</x:v>
      </x:c>
      <x:c r="G17" s="60" t="str">
        <x:v>DanBred D(LY)官网展示，页面未提供完整试验设计</x:v>
      </x:c>
      <x:c r="H17" s="53"/>
    </x:row>
    <x:row r="18">
      <x:c r="A18" s="60" t="str">
        <x:v>官网产品页</x:v>
      </x:c>
      <x:c r="B18" s="60" t="str">
        <x:v>pH（屠宰后24–96小时）</x:v>
      </x:c>
      <x:c r="C18" s="60" t="n">
        <x:v>5.72</x:v>
      </x:c>
      <x:c r="D18" s="60" t="str">
        <x:v>pH</x:v>
      </x:c>
      <x:c r="E18" s="60" t="str">
        <x:v>中</x:v>
      </x:c>
      <x:c r="F18" s="60" t="str">
        <x:v>否</x:v>
      </x:c>
      <x:c r="G18" s="60" t="str">
        <x:v>测定时点范围较宽，不能同其他pH点位直接比较</x:v>
      </x:c>
      <x:c r="H18" s="53"/>
    </x:row>
    <x:row r="19">
      <x:c r="A19" s="60" t="str">
        <x:v>育种目标</x:v>
      </x:c>
      <x:c r="B19" s="60" t="str">
        <x:v>瘦肉率</x:v>
      </x:c>
      <x:c r="C19" s="60" t="str">
        <x:v>纳入选择目标</x:v>
      </x:c>
      <x:c r="D19" s="60" t="str">
        <x:v>—</x:v>
      </x:c>
      <x:c r="E19" s="60" t="str">
        <x:v>中</x:v>
      </x:c>
      <x:c r="F19" s="60" t="str">
        <x:v>否</x:v>
      </x:c>
      <x:c r="G19" s="60" t="str">
        <x:v>目标性状，不是年度商业场实现值</x:v>
      </x:c>
      <x:c r="H19" s="53"/>
    </x:row>
    <x:row r="20">
      <x:c r="A20" s="60" t="str">
        <x:v>育种目标</x:v>
      </x:c>
      <x:c r="B20" s="60" t="str">
        <x:v>屠宰率/出肉率</x:v>
      </x:c>
      <x:c r="C20" s="60" t="str">
        <x:v>纳入选择目标</x:v>
      </x:c>
      <x:c r="D20" s="60" t="str">
        <x:v>—</x:v>
      </x:c>
      <x:c r="E20" s="60" t="str">
        <x:v>中</x:v>
      </x:c>
      <x:c r="F20" s="60" t="str">
        <x:v>否</x:v>
      </x:c>
      <x:c r="G20" s="60" t="str">
        <x:v>目标性状</x:v>
      </x:c>
      <x:c r="H20" s="53"/>
    </x:row>
    <x:row r="21">
      <x:c r="A21" s="60" t="str">
        <x:v>育种进展（官网历史披露）</x:v>
      </x:c>
      <x:c r="B21" s="60" t="str">
        <x:v>瘦肉率</x:v>
      </x:c>
      <x:c r="C21" s="74" t="n">
        <x:v>0.0033</x:v>
      </x:c>
      <x:c r="D21" s="60" t="str">
        <x:v>百分点改善</x:v>
      </x:c>
      <x:c r="E21" s="60" t="str">
        <x:v>中</x:v>
      </x:c>
      <x:c r="F21" s="60" t="str">
        <x:v>否</x:v>
      </x:c>
      <x:c r="G21" s="60" t="str">
        <x:v>官网说明为过去3年遗传进展，非2024单场增幅</x:v>
      </x:c>
      <x:c r="H21" s="53"/>
    </x:row>
    <x:row r="22">
      <x:c r="A22" s="60" t="str">
        <x:v>育种进展（官网历史披露）</x:v>
      </x:c>
      <x:c r="B22" s="60" t="str">
        <x:v>屠宰损失</x:v>
      </x:c>
      <x:c r="C22" s="67" t="n">
        <x:v>-0.09</x:v>
      </x:c>
      <x:c r="D22" s="60" t="str">
        <x:v>kg/头</x:v>
      </x:c>
      <x:c r="E22" s="60" t="str">
        <x:v>中</x:v>
      </x:c>
      <x:c r="F22" s="60" t="str">
        <x:v>否</x:v>
      </x:c>
      <x:c r="G22" s="60" t="str">
        <x:v>官网说明为过去3年遗传进展</x:v>
      </x:c>
      <x:c r="H22" s="53"/>
    </x:row>
    <x:row r="23">
      <x:c r="A23" s="60" t="str">
        <x:v>育种目标</x:v>
      </x:c>
      <x:c r="B23" s="60" t="str">
        <x:v>肉质（风味、多汁性等）</x:v>
      </x:c>
      <x:c r="C23" s="60" t="str">
        <x:v>研究与产品定位</x:v>
      </x:c>
      <x:c r="D23" s="60" t="str">
        <x:v>—</x:v>
      </x:c>
      <x:c r="E23" s="60" t="str">
        <x:v>低</x:v>
      </x:c>
      <x:c r="F23" s="60" t="str">
        <x:v>否</x:v>
      </x:c>
      <x:c r="G23" s="60" t="str">
        <x:v>缺少统一感官/滴水损失连续数据库</x:v>
      </x:c>
      <x:c r="H23" s="53"/>
    </x:row>
    <x:row r="24">
      <x:c r="A24" s="53"/>
      <x:c r="B24" s="53"/>
      <x:c r="C24" s="53"/>
      <x:c r="D24" s="53"/>
      <x:c r="E24" s="53"/>
      <x:c r="F24" s="53"/>
      <x:c r="G24" s="53"/>
      <x:c r="H24" s="53"/>
    </x:row>
    <x:row r="25">
      <x:c r="A25" s="58" t="str">
        <x:v>经济口径提示</x:v>
      </x:c>
      <x:c r="B25" s="58"/>
      <x:c r="C25" s="58"/>
      <x:c r="D25" s="58"/>
      <x:c r="E25" s="58"/>
      <x:c r="F25" s="58"/>
      <x:c r="G25" s="58"/>
      <x:c r="H25" s="58"/>
    </x:row>
    <x:row r="26">
      <x:c r="A26" s="59" t="str">
        <x:v>用途</x:v>
      </x:c>
      <x:c r="B26" s="59" t="str">
        <x:v>公开价格/方法</x:v>
      </x:c>
      <x:c r="C26" s="59" t="str">
        <x:v>数据</x:v>
      </x:c>
      <x:c r="D26" s="59" t="str">
        <x:v>使用限制</x:v>
      </x:c>
      <x:c r="E26" s="53"/>
      <x:c r="F26" s="53"/>
      <x:c r="G26" s="53"/>
      <x:c r="H26" s="53"/>
    </x:row>
    <x:row r="27">
      <x:c r="A27" s="60" t="str">
        <x:v>DanBred栏位生产价值</x:v>
      </x:c>
      <x:c r="B27" s="60" t="str">
        <x:v>育肥猪价格</x:v>
      </x:c>
      <x:c r="C27" s="67" t="n">
        <x:v>12.61</x:v>
      </x:c>
      <x:c r="D27" s="60" t="str">
        <x:v>DKK/kg胴体重；含奖金、未做瘦肉率校正</x:v>
      </x:c>
      <x:c r="E27" s="53"/>
      <x:c r="F27" s="53"/>
      <x:c r="G27" s="53"/>
      <x:c r="H27" s="53"/>
    </x:row>
    <x:row r="28">
      <x:c r="A28" s="60" t="str">
        <x:v>DanBred栏位生产价值</x:v>
      </x:c>
      <x:c r="B28" s="60" t="str">
        <x:v>育肥料价格</x:v>
      </x:c>
      <x:c r="C28" s="67" t="n">
        <x:v>2.07</x:v>
      </x:c>
      <x:c r="D28" s="60" t="str">
        <x:v>DKK/FUgp；与SEGES成本表的FEsv、价格年份不同</x:v>
      </x:c>
      <x:c r="E28" s="53"/>
      <x:c r="F28" s="53"/>
      <x:c r="G28" s="53"/>
      <x:c r="H28" s="53"/>
    </x:row>
    <x:row r="29">
      <x:c r="A29" s="60" t="str">
        <x:v>DanBred栏位生产价值</x:v>
      </x:c>
      <x:c r="B29" s="60" t="str">
        <x:v>杂项成本</x:v>
      </x:c>
      <x:c r="C29" s="67" t="n">
        <x:v>21.45</x:v>
      </x:c>
      <x:c r="D29" s="60" t="str">
        <x:v>DKK/育肥猪；不含运输</x:v>
      </x:c>
      <x:c r="E29" s="53"/>
      <x:c r="F29" s="53"/>
      <x:c r="G29" s="53"/>
      <x:c r="H29" s="53"/>
    </x:row>
    <x:row r="30">
      <x:c r="A30" s="60" t="str">
        <x:v>肉质收入影响</x:v>
      </x:c>
      <x:c r="B30" s="60" t="str">
        <x:v>瘦肉率价值函数</x:v>
      </x:c>
      <x:c r="C30" s="60" t="str">
        <x:v>报告给出公式</x:v>
      </x:c>
      <x:c r="D30" s="60" t="str">
        <x:v>仅用于报告固定价假设下比较</x:v>
      </x:c>
      <x:c r="E30" s="53"/>
      <x:c r="F30" s="53"/>
      <x:c r="G30" s="53"/>
      <x:c r="H30" s="53"/>
    </x:row>
    <x:row r="31">
      <x:c r="A31" s="60" t="str">
        <x:v>结论</x:v>
      </x:c>
      <x:c r="B31" s="60" t="str">
        <x:v>成本与肉质</x:v>
      </x:c>
      <x:c r="C31" s="60" t="str">
        <x:v>需本场重算</x:v>
      </x:c>
      <x:c r="D31" s="60" t="str">
        <x:v>使用本场饲料价、结算规则、胴体支付表和屠宰损失</x:v>
      </x:c>
      <x:c r="E31" s="53"/>
      <x:c r="F31" s="53"/>
      <x:c r="G31" s="53"/>
      <x:c r="H31" s="53"/>
    </x:row>
    <x:row r="32">
      <x:c r="A32" s="53"/>
      <x:c r="B32" s="53"/>
      <x:c r="C32" s="53"/>
      <x:c r="D32" s="53"/>
      <x:c r="E32" s="53"/>
      <x:c r="F32" s="53"/>
      <x:c r="G32" s="53"/>
      <x:c r="H32" s="53"/>
    </x:row>
    <x:row r="33">
      <x:c r="A33" s="69" t="str">
        <x:v>决策建议：选育/采购比较时，优先统一体重段下的校正日增重、校正料肉比、胴体重、校正瘦肉率和死亡率；肉质需补充统一的肌内脂肪、固定时点pH、滴水损失、剪切力或感官评分。现有公开资料足以做效率和胴体比较，但不足以证明不同遗传体系的终端食味差异。</x:v>
      </x:c>
      <x:c r="B33" s="69"/>
      <x:c r="C33" s="69"/>
      <x:c r="D33" s="69"/>
      <x:c r="E33" s="69"/>
      <x:c r="F33" s="69"/>
      <x:c r="G33" s="69"/>
      <x:c r="H33" s="69"/>
    </x:row>
    <x:row r="34">
      <x:c r="A34" s="69"/>
      <x:c r="B34" s="69"/>
      <x:c r="C34" s="69"/>
      <x:c r="D34" s="69"/>
      <x:c r="E34" s="69"/>
      <x:c r="F34" s="69"/>
      <x:c r="G34" s="69"/>
      <x:c r="H34" s="69"/>
    </x:row>
    <x:row r="35">
      <x:c r="A35" s="69"/>
      <x:c r="B35" s="69"/>
      <x:c r="C35" s="69"/>
      <x:c r="D35" s="69"/>
      <x:c r="E35" s="69"/>
      <x:c r="F35" s="69"/>
      <x:c r="G35" s="69"/>
      <x:c r="H35" s="69"/>
    </x:row>
    <x:row r="36">
      <x:c r="A36" s="69"/>
      <x:c r="B36" s="69"/>
      <x:c r="C36" s="69"/>
      <x:c r="D36" s="69"/>
      <x:c r="E36" s="69"/>
      <x:c r="F36" s="69"/>
      <x:c r="G36" s="69"/>
      <x:c r="H36" s="69"/>
    </x:row>
  </x:sheetData>
  <x:mergeCells>
    <x:mergeCell ref="A1:H1"/>
    <x:mergeCell ref="A2:H2"/>
    <x:mergeCell ref="A4:H4"/>
    <x:mergeCell ref="A15:H15"/>
    <x:mergeCell ref="A25:H25"/>
    <x:mergeCell ref="A33:H36"/>
  </x:mergeCells>
  <x:pageMargins left="0.7" right="0.7" top="0.75" bottom="0.75" header="0.3" footer="0.3"/>
</x:worksheet>
</file>