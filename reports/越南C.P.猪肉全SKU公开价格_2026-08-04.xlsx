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2d8a197f5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重点速览" sheetId="1" r:id="R4b42d016faaf4894"/>
    <x:sheet xmlns:r="http://schemas.openxmlformats.org/officeDocument/2006/relationships" name="C.P.全SKU" sheetId="2" r:id="Rd4b97ab680c24228"/>
    <x:sheet xmlns:r="http://schemas.openxmlformats.org/officeDocument/2006/relationships" name="口径与来源" sheetId="3" r:id="Rc191aacf0b4449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 ,##0"/>
    <x:numFmt numFmtId="202" formatCode="#,##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495E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3"/>
      <x:color rgb="FF17324D"/>
      <x:name val="Carlito"/>
    </x:font>
    <x:font>
      <x:b/>
      <x:sz val="11"/>
      <x:color rgb="FF186A3B"/>
      <x:name val="Carlito"/>
    </x:font>
    <x:font>
      <x:b/>
      <x:sz val="11"/>
      <x:color rgb="FF7D6608"/>
      <x:name val="Carlito"/>
    </x:font>
    <x:font>
      <x:b/>
      <x:sz val="11"/>
      <x:color rgb="FF922B21"/>
      <x:name val="Carlito"/>
    </x:font>
    <x:font>
      <x:sz val="11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007C83"/>
      </x:patternFill>
    </x:fill>
    <x:fill>
      <x:patternFill patternType="solid">
        <x:fgColor rgb="FFE8F4F4"/>
      </x:patternFill>
    </x:fill>
    <x:fill>
      <x:patternFill patternType="solid">
        <x:fgColor rgb="FFE8F5E9"/>
      </x:patternFill>
    </x:fill>
    <x:fill>
      <x:patternFill patternType="solid">
        <x:fgColor rgb="FFFFF4CC"/>
      </x:patternFill>
    </x:fill>
    <x:fill>
      <x:patternFill patternType="solid">
        <x:fgColor rgb="FFFBE9E7"/>
      </x:patternFill>
    </x:fill>
  </x:fills>
  <x:borders count="2">
    <x:border/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0" fontId="5" fillId="0" borderId="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0" fontId="7" fillId="7" borderId="1" xfId="0" applyNumberFormat="1" applyFont="1" applyFill="1" applyBorder="1" applyAlignment="1">
      <x:alignment wrapText="1"/>
    </x:xf>
    <x:xf numFmtId="200" fontId="7" fillId="7" borderId="1" xfId="0" applyNumberFormat="1" applyFont="1" applyFill="1" applyBorder="1" applyAlignment="1">
      <x:alignment horizontal="center" wrapText="1"/>
    </x:xf>
    <x:xf numFmtId="0" fontId="9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0be53e624460e" /><Relationship Type="http://schemas.openxmlformats.org/officeDocument/2006/relationships/theme" Target="/xl/theme/theme1.xml" Id="R32bf0ba7e3cc48c1" /><Relationship Type="http://schemas.openxmlformats.org/officeDocument/2006/relationships/sharedStrings" Target="/xl/sharedStrings.xml" Id="R8a26c64d390e4515" /><Relationship Type="http://schemas.openxmlformats.org/officeDocument/2006/relationships/worksheet" Target="/xl/worksheets/sheet1.xml" Id="R4b42d016faaf4894" /><Relationship Type="http://schemas.openxmlformats.org/officeDocument/2006/relationships/worksheet" Target="/xl/worksheets/sheet2.xml" Id="Rd4b97ab680c24228" /><Relationship Type="http://schemas.openxmlformats.org/officeDocument/2006/relationships/worksheet" Target="/xl/worksheets/sheet3.xml" Id="Rc191aacf0b4449e2" /></Relationships>
</file>

<file path=xl/tables/table1.xml><?xml version="1.0" encoding="utf-8"?>
<x:table xmlns:x="http://schemas.openxmlformats.org/spreadsheetml/2006/main" id="1" name="CpPorkSkuTable" displayName="CpPorkSkuTable" ref="A4:O14" headerRowCount="1" totalsRowCount="0" totalsRowShown="0">
  <x:tableColumns count="15">
    <x:tableColumn id="1" name="序号"/>
    <x:tableColumn id="2" name="品牌"/>
    <x:tableColumn id="3" name="越南语商品名"/>
    <x:tableColumn id="4" name="中文规格"/>
    <x:tableColumn id="5" name="中文部位"/>
    <x:tableColumn id="6" name="产品大类"/>
    <x:tableColumn id="7" name="净重(g)"/>
    <x:tableColumn id="8" name="页面折扣"/>
    <x:tableColumn id="9" name="常规包装价"/>
    <x:tableColumn id="10" name="促销包装价"/>
    <x:tableColumn id="11" name="常规价/kg"/>
    <x:tableColumn id="12" name="促销价/kg"/>
    <x:tableColumn id="13" name="实际价/kg"/>
    <x:tableColumn id="14" name="促销余量（页面显示）"/>
    <x:tableColumn id="15" name="原始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2235de800847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50" hidden="0" customWidth="1"/>
    <x:col min="4" max="4" width="28" hidden="0" customWidth="1"/>
    <x:col min="5" max="5" width="14" hidden="0" customWidth="1"/>
    <x:col min="6" max="6" width="3" hidden="0" customWidth="1"/>
    <x:col min="7" max="7" width="18" hidden="0" customWidth="1"/>
    <x:col min="8" max="8" width="53" hidden="0" customWidth="1"/>
  </x:cols>
  <x:sheetData>
    <x:row r="1" ht="29" customHeight="1">
      <x:c r="A1" s="3" t="str">
        <x:v>C.P. 猪肉零售价格｜全SKU公开报价</x:v>
      </x:c>
    </x:row>
    <x:row r="2" ht="30" customHeight="1">
      <x:c r="A2" s="7" t="str">
        <x:v>来源：Bách Hóa Xanh“Thịt heo C.P”动态分类页｜采集时间：2026-08-04 11:16（越南时间）｜单位：VND/kg。包装价与促销价均保留，实际价优先采用促销价。</x:v>
      </x:c>
    </x:row>
    <x:row r="4">
      <x:c r="A4" s="13" t="str">
        <x:v>关键指标</x:v>
      </x:c>
      <x:c r="B4" s="13" t="str">
        <x:v>数值</x:v>
      </x:c>
      <x:c r="C4" s="13" t="str">
        <x:v>解读</x:v>
      </x:c>
      <x:c r="D4" s="13" t="str">
        <x:v>标识</x:v>
      </x:c>
      <x:c r="G4" s="13" t="str">
        <x:v>重点信息</x:v>
      </x:c>
      <x:c r="H4" s="13" t="str">
        <x:v>说明</x:v>
      </x:c>
    </x:row>
    <x:row r="5" ht="37" customHeight="1">
      <x:c r="A5" s="24" t="str">
        <x:v>当前展示SKU</x:v>
      </x:c>
      <x:c r="B5" s="25" t="n">
        <x:f>COUNTA('C.P.全SKU'!$A$5:$A$30)</x:f>
        <x:v>10</x:v>
      </x:c>
      <x:c r="C5" s="26" t="str">
        <x:v>Bách Hóa Xanh C.P. 分类页本次显示的全部10个可购SKU</x:v>
      </x:c>
      <x:c r="D5" s="27" t="str">
        <x:v>🟢 完整展示</x:v>
      </x:c>
      <x:c r="G5" s="27" t="str">
        <x:v>🟢 当前促销</x:v>
      </x:c>
      <x:c r="H5" s="26" t="str">
        <x:v>10个当前展示SKU均有页面标示促销价；表中实际价/kg已按促销价计算。</x:v>
      </x:c>
    </x:row>
    <x:row r="6" ht="37" customHeight="1">
      <x:c r="A6" s="24" t="str">
        <x:v>产品大类</x:v>
      </x:c>
      <x:c r="B6" s="25" t="n">
        <x:f>COUNTA('重点速览'!$A$13:$A$17)</x:f>
        <x:v>5</x:v>
      </x:c>
      <x:c r="C6" s="26" t="str">
        <x:v>猪肘/猪蹄、带肉骨、后腿、五花、肉馅</x:v>
      </x:c>
      <x:c r="D6" s="27" t="str">
        <x:v>🟢 覆盖5类</x:v>
      </x:c>
      <x:c r="G6" s="28" t="str">
        <x:v>🟡 价格口径</x:v>
      </x:c>
      <x:c r="H6" s="26" t="str">
        <x:v>比较时须锁定部位、是否带骨、包装规格及促销状态；不能用五花代表全猪肉。</x:v>
      </x:c>
    </x:row>
    <x:row r="7" ht="37" customHeight="1">
      <x:c r="A7" s="24" t="str">
        <x:v>促销实际价区间</x:v>
      </x:c>
      <x:c r="B7" s="25" t="str">
        <x:f>TEXT(MIN('C.P.全SKU'!$M$5:$M$30),"#,##0")&amp;"—"&amp;TEXT(MAX('C.P.全SKU'!$M$5:$M$30),"#,##0")</x:f>
        <x:v>99,000—155,000</x:v>
      </x:c>
      <x:c r="C7" s="26" t="str">
        <x:v>仅比较 C.P. 分类页当前在售 SKU</x:v>
      </x:c>
      <x:c r="D7" s="28" t="str">
        <x:v>🟡 99,000—155,000</x:v>
      </x:c>
      <x:c r="G7" s="28" t="str">
        <x:v>🟡 代表性</x:v>
      </x:c>
      <x:c r="H7" s="26" t="str">
        <x:v>C.P.可作为品牌化冷鲜零售价格哨点；全国行情还需结合 VISSAN、MEATDeli、市场/批发口径。</x:v>
      </x:c>
    </x:row>
    <x:row r="8" ht="37" customHeight="1">
      <x:c r="A8" s="24" t="str">
        <x:v>最大促销力度</x:v>
      </x:c>
      <x:c r="B8" s="29" t="n">
        <x:f>MAX('C.P.全SKU'!$H$5:$H$30)</x:f>
        <x:v>0.21</x:v>
      </x:c>
      <x:c r="C8" s="26" t="str">
        <x:v>最大页面标示折扣幅度</x:v>
      </x:c>
      <x:c r="D8" s="28" t="str">
        <x:v>🔴 -21%</x:v>
      </x:c>
      <x:c r="G8" s="34" t="str">
        <x:v>🔴 促销存量</x:v>
      </x:c>
      <x:c r="H8" s="26" t="str">
        <x:v>5个促销SKU页面显示剩余数量（165—363），价格可能随促销库存消耗而变化。</x:v>
      </x:c>
    </x:row>
    <x:row r="9" ht="37" customHeight="1">
      <x:c r="A9" s="24" t="str">
        <x:v>重要边界</x:v>
      </x:c>
      <x:c r="B9" s="25" t="str">
        <x:f>"品牌价格哨点"</x:f>
        <x:v>品牌价格哨点</x:v>
      </x:c>
      <x:c r="C9" s="26" t="str">
        <x:v>C.P.是重要品牌零售观察样本，但不是越南全国猪肉价格指数</x:v>
      </x:c>
      <x:c r="D9" s="28" t="str">
        <x:v>🟡 不可替代市场综合价</x:v>
      </x:c>
      <x:c r="G9" s="27" t="str">
        <x:v>🟢 可追溯</x:v>
      </x:c>
      <x:c r="H9" s="26" t="str">
        <x:v>每一行保留Bách Hóa Xanh原始产品链接，点击即可复核。</x:v>
      </x:c>
    </x:row>
    <x:row r="12">
      <x:c r="A12" s="13" t="str">
        <x:v>产品大类</x:v>
      </x:c>
      <x:c r="B12" s="13" t="str">
        <x:v>最低促销价/kg</x:v>
      </x:c>
      <x:c r="C12" s="13" t="str">
        <x:v>平均促销价/kg</x:v>
      </x:c>
      <x:c r="D12" s="13" t="str">
        <x:v>最高促销价/kg</x:v>
      </x:c>
      <x:c r="E12" s="13" t="str">
        <x:v>SKU数</x:v>
      </x:c>
    </x:row>
    <x:row r="13" ht="25" customHeight="1">
      <x:c r="A13" s="16" t="str">
        <x:v>猪肘/猪蹄</x:v>
      </x:c>
      <x:c r="B13" s="31" t="n">
        <x:f>IF(E13=0,"",MINIFS('C.P.全SKU'!$M$5:$M$30,'C.P.全SKU'!$F$5:$F$30,A13))</x:f>
        <x:v>99000</x:v>
      </x:c>
      <x:c r="C13" s="31" t="n">
        <x:f>IF(E13=0,"",SUMIFS('C.P.全SKU'!$M$5:$M$30,'C.P.全SKU'!$F$5:$F$30,A13)/E13)</x:f>
        <x:v>99000</x:v>
      </x:c>
      <x:c r="D13" s="31" t="n">
        <x:f>IF(E13=0,"",MAXIFS('C.P.全SKU'!$M$5:$M$30,'C.P.全SKU'!$F$5:$F$30,A13))</x:f>
        <x:v>99000</x:v>
      </x:c>
      <x:c r="E13" s="14" t="n">
        <x:f>COUNTIF('C.P.全SKU'!$F$5:$F$30,A13)</x:f>
        <x:v>2</x:v>
      </x:c>
    </x:row>
    <x:row r="14" ht="25" customHeight="1">
      <x:c r="A14" s="16" t="str">
        <x:v>带肉骨</x:v>
      </x:c>
      <x:c r="B14" s="31" t="n">
        <x:f>IF(E14=0,"",MINIFS('C.P.全SKU'!$M$5:$M$30,'C.P.全SKU'!$F$5:$F$30,A14))</x:f>
        <x:v>99000</x:v>
      </x:c>
      <x:c r="C14" s="31" t="n">
        <x:f>IF(E14=0,"",SUMIFS('C.P.全SKU'!$M$5:$M$30,'C.P.全SKU'!$F$5:$F$30,A14)/E14)</x:f>
        <x:v>99000</x:v>
      </x:c>
      <x:c r="D14" s="31" t="n">
        <x:f>IF(E14=0,"",MAXIFS('C.P.全SKU'!$M$5:$M$30,'C.P.全SKU'!$F$5:$F$30,A14))</x:f>
        <x:v>99000</x:v>
      </x:c>
      <x:c r="E14" s="14" t="n">
        <x:f>COUNTIF('C.P.全SKU'!$F$5:$F$30,A14)</x:f>
        <x:v>2</x:v>
      </x:c>
    </x:row>
    <x:row r="15" ht="25" customHeight="1">
      <x:c r="A15" s="16" t="str">
        <x:v>后腿肉</x:v>
      </x:c>
      <x:c r="B15" s="31" t="n">
        <x:f>IF(E15=0,"",MINIFS('C.P.全SKU'!$M$5:$M$30,'C.P.全SKU'!$F$5:$F$30,A15))</x:f>
        <x:v>109000</x:v>
      </x:c>
      <x:c r="C15" s="31" t="n">
        <x:f>IF(E15=0,"",SUMIFS('C.P.全SKU'!$M$5:$M$30,'C.P.全SKU'!$F$5:$F$30,A15)/E15)</x:f>
        <x:v>109000</x:v>
      </x:c>
      <x:c r="D15" s="31" t="n">
        <x:f>IF(E15=0,"",MAXIFS('C.P.全SKU'!$M$5:$M$30,'C.P.全SKU'!$F$5:$F$30,A15))</x:f>
        <x:v>109000</x:v>
      </x:c>
      <x:c r="E15" s="14" t="n">
        <x:f>COUNTIF('C.P.全SKU'!$F$5:$F$30,A15)</x:f>
        <x:v>2</x:v>
      </x:c>
    </x:row>
    <x:row r="16" ht="25" customHeight="1">
      <x:c r="A16" s="16" t="str">
        <x:v>五花肉</x:v>
      </x:c>
      <x:c r="B16" s="31" t="n">
        <x:f>IF(E16=0,"",MINIFS('C.P.全SKU'!$M$5:$M$30,'C.P.全SKU'!$F$5:$F$30,A16))</x:f>
        <x:v>143000</x:v>
      </x:c>
      <x:c r="C16" s="31" t="n">
        <x:f>IF(E16=0,"",SUMIFS('C.P.全SKU'!$M$5:$M$30,'C.P.全SKU'!$F$5:$F$30,A16)/E16)</x:f>
        <x:v>149000</x:v>
      </x:c>
      <x:c r="D16" s="31" t="n">
        <x:f>IF(E16=0,"",MAXIFS('C.P.全SKU'!$M$5:$M$30,'C.P.全SKU'!$F$5:$F$30,A16))</x:f>
        <x:v>155000</x:v>
      </x:c>
      <x:c r="E16" s="14" t="n">
        <x:f>COUNTIF('C.P.全SKU'!$F$5:$F$30,A16)</x:f>
        <x:v>2</x:v>
      </x:c>
    </x:row>
    <x:row r="17" ht="25" customHeight="1">
      <x:c r="A17" s="16" t="str">
        <x:v>猪肉馅</x:v>
      </x:c>
      <x:c r="B17" s="31" t="n">
        <x:f>IF(E17=0,"",MINIFS('C.P.全SKU'!$M$5:$M$30,'C.P.全SKU'!$F$5:$F$30,A17))</x:f>
        <x:v>110500</x:v>
      </x:c>
      <x:c r="C17" s="31" t="n">
        <x:f>IF(E17=0,"",SUMIFS('C.P.全SKU'!$M$5:$M$30,'C.P.全SKU'!$F$5:$F$30,A17)/E17)</x:f>
        <x:v>110500</x:v>
      </x:c>
      <x:c r="D17" s="31" t="n">
        <x:f>IF(E17=0,"",MAXIFS('C.P.全SKU'!$M$5:$M$30,'C.P.全SKU'!$F$5:$F$30,A17))</x:f>
        <x:v>110500</x:v>
      </x:c>
      <x:c r="E17" s="14" t="n">
        <x:f>COUNTIF('C.P.全SKU'!$F$5:$F$30,A17)</x:f>
        <x:v>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31" hidden="0" customWidth="1"/>
    <x:col min="4" max="4" width="24" hidden="0" customWidth="1"/>
    <x:col min="5" max="5" width="16" hidden="0" customWidth="1"/>
    <x:col min="6" max="6" width="16" hidden="0" customWidth="1"/>
    <x:col min="7" max="7" width="11" hidden="0" customWidth="1"/>
    <x:col min="8" max="8" width="12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19" hidden="0" customWidth="1"/>
    <x:col min="15" max="15" width="68" hidden="0" customWidth="1"/>
  </x:cols>
  <x:sheetData>
    <x:row r="1" ht="29" customHeight="1">
      <x:c r="A1" s="3" t="str">
        <x:v>C.P. 猪肉全SKU明细｜Bách Hóa Xanh</x:v>
      </x:c>
    </x:row>
    <x:row r="2" ht="30" customHeight="1">
      <x:c r="A2" s="7" t="str">
        <x:v>“全部SKU”指采集时 C.P. 专题页当前展示的全部10个可购SKU；网页价格可能随配送地址、库存及促销倒计时变化。计算公式公开可审计。</x:v>
      </x:c>
    </x:row>
    <x:row r="4">
      <x:c r="A4" s="13" t="str">
        <x:v>序号</x:v>
      </x:c>
      <x:c r="B4" s="13" t="str">
        <x:v>品牌</x:v>
      </x:c>
      <x:c r="C4" s="13" t="str">
        <x:v>越南语商品名</x:v>
      </x:c>
      <x:c r="D4" s="13" t="str">
        <x:v>中文规格</x:v>
      </x:c>
      <x:c r="E4" s="13" t="str">
        <x:v>中文部位</x:v>
      </x:c>
      <x:c r="F4" s="13" t="str">
        <x:v>产品大类</x:v>
      </x:c>
      <x:c r="G4" s="13" t="str">
        <x:v>净重(g)</x:v>
      </x:c>
      <x:c r="H4" s="13" t="str">
        <x:v>页面折扣</x:v>
      </x:c>
      <x:c r="I4" s="13" t="str">
        <x:v>常规包装价</x:v>
      </x:c>
      <x:c r="J4" s="13" t="str">
        <x:v>促销包装价</x:v>
      </x:c>
      <x:c r="K4" s="13" t="str">
        <x:v>常规价/kg</x:v>
      </x:c>
      <x:c r="L4" s="13" t="str">
        <x:v>促销价/kg</x:v>
      </x:c>
      <x:c r="M4" s="13" t="str">
        <x:v>实际价/kg</x:v>
      </x:c>
      <x:c r="N4" s="13" t="str">
        <x:v>促销余量（页面显示）</x:v>
      </x:c>
      <x:c r="O4" s="13" t="str">
        <x:v>原始链接</x:v>
      </x:c>
    </x:row>
    <x:row r="5" ht="30" customHeight="1">
      <x:c r="A5" s="26" t="n">
        <x:v>1</x:v>
      </x:c>
      <x:c r="B5" s="26" t="str">
        <x:v>C.P.</x:v>
      </x:c>
      <x:c r="C5" s="26" t="str">
        <x:v>Chân giò heo C.P</x:v>
      </x:c>
      <x:c r="D5" s="26" t="str">
        <x:v>300g｜冷鲜肉/网页标示</x:v>
      </x:c>
      <x:c r="E5" s="26" t="str">
        <x:v>猪肘/猪蹄</x:v>
      </x:c>
      <x:c r="F5" s="26" t="str">
        <x:v>猪肘/猪蹄</x:v>
      </x:c>
      <x:c r="G5" s="35" t="n">
        <x:v>300</x:v>
      </x:c>
      <x:c r="H5" s="39" t="n">
        <x:v>0.21</x:v>
      </x:c>
      <x:c r="I5" s="35" t="n">
        <x:v>37500</x:v>
      </x:c>
      <x:c r="J5" s="35" t="n">
        <x:v>29700</x:v>
      </x:c>
      <x:c r="K5" s="35" t="n">
        <x:f>I5/(G5/1000)</x:f>
        <x:v>125000</x:v>
      </x:c>
      <x:c r="L5" s="35" t="n">
        <x:f>J5/(G5/1000)</x:f>
        <x:v>99000</x:v>
      </x:c>
      <x:c r="M5" s="35" t="n">
        <x:f>L5</x:f>
        <x:v>99000</x:v>
      </x:c>
      <x:c r="N5" s="35" t="n">
        <x:v>226</x:v>
      </x:c>
      <x:c r="O5" s="40" t="str">
        <x:v>https://www.bachhoaxanh.com/thit-heo/chan-gio-heo-cp-300g</x:v>
      </x:c>
    </x:row>
    <x:row r="6" ht="30" customHeight="1">
      <x:c r="A6" s="26" t="n">
        <x:v>2</x:v>
      </x:c>
      <x:c r="B6" s="26" t="str">
        <x:v>C.P.</x:v>
      </x:c>
      <x:c r="C6" s="26" t="str">
        <x:v>Chân giò heo C.P</x:v>
      </x:c>
      <x:c r="D6" s="26" t="str">
        <x:v>450g｜冷鲜肉/网页标示</x:v>
      </x:c>
      <x:c r="E6" s="26" t="str">
        <x:v>猪肘/猪蹄</x:v>
      </x:c>
      <x:c r="F6" s="26" t="str">
        <x:v>猪肘/猪蹄</x:v>
      </x:c>
      <x:c r="G6" s="35" t="n">
        <x:v>450</x:v>
      </x:c>
      <x:c r="H6" s="39" t="n">
        <x:v>0.2</x:v>
      </x:c>
      <x:c r="I6" s="35" t="n">
        <x:v>55800</x:v>
      </x:c>
      <x:c r="J6" s="35" t="n">
        <x:v>44550</x:v>
      </x:c>
      <x:c r="K6" s="35" t="n">
        <x:f>I6/(G6/1000)</x:f>
        <x:v>124000</x:v>
      </x:c>
      <x:c r="L6" s="35" t="n">
        <x:f>J6/(G6/1000)</x:f>
        <x:v>99000</x:v>
      </x:c>
      <x:c r="M6" s="35" t="n">
        <x:f>L6</x:f>
        <x:v>99000</x:v>
      </x:c>
      <x:c r="N6" s="35"/>
      <x:c r="O6" s="40" t="str">
        <x:v>https://www.bachhoaxanh.com/thit-heo/chan-gio-heo-1kg</x:v>
      </x:c>
    </x:row>
    <x:row r="7" ht="30" customHeight="1">
      <x:c r="A7" s="26" t="n">
        <x:v>3</x:v>
      </x:c>
      <x:c r="B7" s="26" t="str">
        <x:v>C.P.</x:v>
      </x:c>
      <x:c r="C7" s="26" t="str">
        <x:v>Xương heo có thịt C.P</x:v>
      </x:c>
      <x:c r="D7" s="26" t="str">
        <x:v>400g｜冷鲜肉/网页标示</x:v>
      </x:c>
      <x:c r="E7" s="26" t="str">
        <x:v>带肉骨</x:v>
      </x:c>
      <x:c r="F7" s="26" t="str">
        <x:v>带肉骨</x:v>
      </x:c>
      <x:c r="G7" s="35" t="n">
        <x:v>400</x:v>
      </x:c>
      <x:c r="H7" s="39" t="n">
        <x:v>0.09</x:v>
      </x:c>
      <x:c r="I7" s="35" t="n">
        <x:v>43600</x:v>
      </x:c>
      <x:c r="J7" s="35" t="n">
        <x:v>39600</x:v>
      </x:c>
      <x:c r="K7" s="35" t="n">
        <x:f>I7/(G7/1000)</x:f>
        <x:v>109000</x:v>
      </x:c>
      <x:c r="L7" s="35" t="n">
        <x:f>J7/(G7/1000)</x:f>
        <x:v>99000</x:v>
      </x:c>
      <x:c r="M7" s="35" t="n">
        <x:f>L7</x:f>
        <x:v>99000</x:v>
      </x:c>
      <x:c r="N7" s="35"/>
      <x:c r="O7" s="40" t="str">
        <x:v>https://www.bachhoaxanh.com/thit-heo/xuong-heo-co-thit-1kg</x:v>
      </x:c>
    </x:row>
    <x:row r="8" ht="30" customHeight="1">
      <x:c r="A8" s="26" t="n">
        <x:v>4</x:v>
      </x:c>
      <x:c r="B8" s="26" t="str">
        <x:v>C.P.</x:v>
      </x:c>
      <x:c r="C8" s="26" t="str">
        <x:v>Xương heo có thịt C.P</x:v>
      </x:c>
      <x:c r="D8" s="26" t="str">
        <x:v>300g｜冷鲜肉/网页标示</x:v>
      </x:c>
      <x:c r="E8" s="26" t="str">
        <x:v>带肉骨</x:v>
      </x:c>
      <x:c r="F8" s="26" t="str">
        <x:v>带肉骨</x:v>
      </x:c>
      <x:c r="G8" s="35" t="n">
        <x:v>300</x:v>
      </x:c>
      <x:c r="H8" s="39" t="n">
        <x:v>0.1</x:v>
      </x:c>
      <x:c r="I8" s="35" t="n">
        <x:v>33000</x:v>
      </x:c>
      <x:c r="J8" s="35" t="n">
        <x:v>29700</x:v>
      </x:c>
      <x:c r="K8" s="35" t="n">
        <x:f>I8/(G8/1000)</x:f>
        <x:v>110000</x:v>
      </x:c>
      <x:c r="L8" s="35" t="n">
        <x:f>J8/(G8/1000)</x:f>
        <x:v>99000</x:v>
      </x:c>
      <x:c r="M8" s="35" t="n">
        <x:f>L8</x:f>
        <x:v>99000</x:v>
      </x:c>
      <x:c r="N8" s="35" t="n">
        <x:v>191</x:v>
      </x:c>
      <x:c r="O8" s="40" t="str">
        <x:v>https://www.bachhoaxanh.com/thit-heo/xuong-heo-co-thit-cp-300g</x:v>
      </x:c>
    </x:row>
    <x:row r="9" ht="30" customHeight="1">
      <x:c r="A9" s="26" t="n">
        <x:v>5</x:v>
      </x:c>
      <x:c r="B9" s="26" t="str">
        <x:v>C.P.</x:v>
      </x:c>
      <x:c r="C9" s="26" t="str">
        <x:v>Thịt đùi heo C.P</x:v>
      </x:c>
      <x:c r="D9" s="26" t="str">
        <x:v>300g｜冷鲜肉/网页标示</x:v>
      </x:c>
      <x:c r="E9" s="26" t="str">
        <x:v>后腿肉</x:v>
      </x:c>
      <x:c r="F9" s="26" t="str">
        <x:v>后腿肉</x:v>
      </x:c>
      <x:c r="G9" s="35" t="n">
        <x:v>300</x:v>
      </x:c>
      <x:c r="H9" s="39" t="n">
        <x:v>0.16</x:v>
      </x:c>
      <x:c r="I9" s="35" t="n">
        <x:v>39000</x:v>
      </x:c>
      <x:c r="J9" s="35" t="n">
        <x:v>32700</x:v>
      </x:c>
      <x:c r="K9" s="35" t="n">
        <x:f>I9/(G9/1000)</x:f>
        <x:v>130000</x:v>
      </x:c>
      <x:c r="L9" s="35" t="n">
        <x:f>J9/(G9/1000)</x:f>
        <x:v>109000</x:v>
      </x:c>
      <x:c r="M9" s="35" t="n">
        <x:f>L9</x:f>
        <x:v>109000</x:v>
      </x:c>
      <x:c r="N9" s="35"/>
      <x:c r="O9" s="40" t="str">
        <x:v>https://www.bachhoaxanh.com/thit-heo/thit-dui-heo-300g</x:v>
      </x:c>
    </x:row>
    <x:row r="10" ht="30" customHeight="1">
      <x:c r="A10" s="26" t="n">
        <x:v>6</x:v>
      </x:c>
      <x:c r="B10" s="26" t="str">
        <x:v>C.P.</x:v>
      </x:c>
      <x:c r="C10" s="26" t="str">
        <x:v>Thịt đùi heo C.P</x:v>
      </x:c>
      <x:c r="D10" s="26" t="str">
        <x:v>400g｜冷鲜肉/网页标示</x:v>
      </x:c>
      <x:c r="E10" s="26" t="str">
        <x:v>后腿肉</x:v>
      </x:c>
      <x:c r="F10" s="26" t="str">
        <x:v>后腿肉</x:v>
      </x:c>
      <x:c r="G10" s="35" t="n">
        <x:v>400</x:v>
      </x:c>
      <x:c r="H10" s="39" t="n">
        <x:v>0.16</x:v>
      </x:c>
      <x:c r="I10" s="35" t="n">
        <x:v>51600</x:v>
      </x:c>
      <x:c r="J10" s="35" t="n">
        <x:v>43600</x:v>
      </x:c>
      <x:c r="K10" s="35" t="n">
        <x:f>I10/(G10/1000)</x:f>
        <x:v>129000</x:v>
      </x:c>
      <x:c r="L10" s="35" t="n">
        <x:f>J10/(G10/1000)</x:f>
        <x:v>109000</x:v>
      </x:c>
      <x:c r="M10" s="35" t="n">
        <x:f>L10</x:f>
        <x:v>109000</x:v>
      </x:c>
      <x:c r="N10" s="35"/>
      <x:c r="O10" s="40" t="str">
        <x:v>https://www.bachhoaxanh.com/thit-heo/thit-dui-heo-1kg</x:v>
      </x:c>
    </x:row>
    <x:row r="11" ht="30" customHeight="1">
      <x:c r="A11" s="26" t="n">
        <x:v>7</x:v>
      </x:c>
      <x:c r="B11" s="26" t="str">
        <x:v>C.P.</x:v>
      </x:c>
      <x:c r="C11" s="26" t="str">
        <x:v>Ba rọi heo C.P</x:v>
      </x:c>
      <x:c r="D11" s="26" t="str">
        <x:v>400g｜冷鲜肉/网页标示</x:v>
      </x:c>
      <x:c r="E11" s="26" t="str">
        <x:v>五花肉</x:v>
      </x:c>
      <x:c r="F11" s="26" t="str">
        <x:v>五花肉</x:v>
      </x:c>
      <x:c r="G11" s="35" t="n">
        <x:v>400</x:v>
      </x:c>
      <x:c r="H11" s="39" t="n">
        <x:v>0.08</x:v>
      </x:c>
      <x:c r="I11" s="35" t="n">
        <x:v>67600</x:v>
      </x:c>
      <x:c r="J11" s="35" t="n">
        <x:v>62000</x:v>
      </x:c>
      <x:c r="K11" s="35" t="n">
        <x:f>I11/(G11/1000)</x:f>
        <x:v>169000</x:v>
      </x:c>
      <x:c r="L11" s="35" t="n">
        <x:f>J11/(G11/1000)</x:f>
        <x:v>155000</x:v>
      </x:c>
      <x:c r="M11" s="35" t="n">
        <x:f>L11</x:f>
        <x:v>155000</x:v>
      </x:c>
      <x:c r="N11" s="35"/>
      <x:c r="O11" s="40" t="str">
        <x:v>https://www.bachhoaxanh.com/thit-heo/ba-roi-heo-1kg</x:v>
      </x:c>
    </x:row>
    <x:row r="12" ht="30" customHeight="1">
      <x:c r="A12" s="26" t="n">
        <x:v>8</x:v>
      </x:c>
      <x:c r="B12" s="26" t="str">
        <x:v>C.P.</x:v>
      </x:c>
      <x:c r="C12" s="26" t="str">
        <x:v>Ba rọi heo C.P</x:v>
      </x:c>
      <x:c r="D12" s="26" t="str">
        <x:v>300g｜冷鲜肉/网页标示</x:v>
      </x:c>
      <x:c r="E12" s="26" t="str">
        <x:v>五花肉</x:v>
      </x:c>
      <x:c r="F12" s="26" t="str">
        <x:v>五花肉</x:v>
      </x:c>
      <x:c r="G12" s="35" t="n">
        <x:v>300</x:v>
      </x:c>
      <x:c r="H12" s="39" t="n">
        <x:v>0.16</x:v>
      </x:c>
      <x:c r="I12" s="35" t="n">
        <x:v>51000</x:v>
      </x:c>
      <x:c r="J12" s="35" t="n">
        <x:v>42900</x:v>
      </x:c>
      <x:c r="K12" s="35" t="n">
        <x:f>I12/(G12/1000)</x:f>
        <x:v>170000</x:v>
      </x:c>
      <x:c r="L12" s="35" t="n">
        <x:f>J12/(G12/1000)</x:f>
        <x:v>143000</x:v>
      </x:c>
      <x:c r="M12" s="35" t="n">
        <x:f>L12</x:f>
        <x:v>143000</x:v>
      </x:c>
      <x:c r="N12" s="35" t="n">
        <x:v>165</x:v>
      </x:c>
      <x:c r="O12" s="40" t="str">
        <x:v>https://www.bachhoaxanh.com/thit-heo/ba-roi-heo</x:v>
      </x:c>
    </x:row>
    <x:row r="13" ht="30" customHeight="1">
      <x:c r="A13" s="26" t="n">
        <x:v>9</x:v>
      </x:c>
      <x:c r="B13" s="26" t="str">
        <x:v>C.P.</x:v>
      </x:c>
      <x:c r="C13" s="26" t="str">
        <x:v>Thịt heo xay C.P</x:v>
      </x:c>
      <x:c r="D13" s="26" t="str">
        <x:v>100g｜冷鲜肉/网页标示</x:v>
      </x:c>
      <x:c r="E13" s="26" t="str">
        <x:v>猪肉馅</x:v>
      </x:c>
      <x:c r="F13" s="26" t="str">
        <x:v>猪肉馅</x:v>
      </x:c>
      <x:c r="G13" s="35" t="n">
        <x:v>100</x:v>
      </x:c>
      <x:c r="H13" s="39" t="n">
        <x:v>0.15</x:v>
      </x:c>
      <x:c r="I13" s="35" t="n">
        <x:v>13000</x:v>
      </x:c>
      <x:c r="J13" s="35" t="n">
        <x:v>11050</x:v>
      </x:c>
      <x:c r="K13" s="35" t="n">
        <x:f>I13/(G13/1000)</x:f>
        <x:v>130000</x:v>
      </x:c>
      <x:c r="L13" s="35" t="n">
        <x:f>J13/(G13/1000)</x:f>
        <x:v>110500</x:v>
      </x:c>
      <x:c r="M13" s="35" t="n">
        <x:f>L13</x:f>
        <x:v>110500</x:v>
      </x:c>
      <x:c r="N13" s="35" t="n">
        <x:v>363</x:v>
      </x:c>
      <x:c r="O13" s="40" t="str">
        <x:v>https://www.bachhoaxanh.com/thit-heo/thit-heo-xay-cp-100g</x:v>
      </x:c>
    </x:row>
    <x:row r="14" ht="30" customHeight="1">
      <x:c r="A14" s="26" t="n">
        <x:v>10</x:v>
      </x:c>
      <x:c r="B14" s="26" t="str">
        <x:v>C.P.</x:v>
      </x:c>
      <x:c r="C14" s="26" t="str">
        <x:v>Thịt heo xay C.P</x:v>
      </x:c>
      <x:c r="D14" s="26" t="str">
        <x:v>200g｜冷鲜肉/网页标示</x:v>
      </x:c>
      <x:c r="E14" s="26" t="str">
        <x:v>猪肉馅</x:v>
      </x:c>
      <x:c r="F14" s="26" t="str">
        <x:v>猪肉馅</x:v>
      </x:c>
      <x:c r="G14" s="35" t="n">
        <x:v>200</x:v>
      </x:c>
      <x:c r="H14" s="39" t="n">
        <x:v>0.15</x:v>
      </x:c>
      <x:c r="I14" s="35" t="n">
        <x:v>26000</x:v>
      </x:c>
      <x:c r="J14" s="35" t="n">
        <x:v>22100</x:v>
      </x:c>
      <x:c r="K14" s="35" t="n">
        <x:f>I14/(G14/1000)</x:f>
        <x:v>130000</x:v>
      </x:c>
      <x:c r="L14" s="35" t="n">
        <x:f>J14/(G14/1000)</x:f>
        <x:v>110500</x:v>
      </x:c>
      <x:c r="M14" s="35" t="n">
        <x:f>L14</x:f>
        <x:v>110500</x:v>
      </x:c>
      <x:c r="N14" s="35" t="n">
        <x:v>348</x:v>
      </x:c>
      <x:c r="O14" s="40" t="str">
        <x:v>https://www.bachhoaxanh.com/thit-heo/thit-heo-xay-cp-khay-200g</x:v>
      </x:c>
    </x:row>
  </x:sheetData>
  <x:mergeCells>
    <x:mergeCell ref="A1:O1"/>
    <x:mergeCell ref="A2:O2"/>
  </x:mergeCells>
  <x:conditionalFormatting sqref="M5:M14">
    <x:cfRule type="colorScale" priority="1">
      <x:colorScale>
        <x:cfvo type="min"/>
        <x:cfvo type="percentile" val="50"/>
        <x:cfvo type="max"/>
        <x:color rgb="FFE8F5E9"/>
        <x:color rgb="FFFFF4CC"/>
        <x:color rgb="FFFBE9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22235de800847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3" hidden="0" customWidth="1"/>
    <x:col min="3" max="3" width="50" hidden="0" customWidth="1"/>
    <x:col min="4" max="4" width="66" hidden="0" customWidth="1"/>
  </x:cols>
  <x:sheetData>
    <x:row r="1" ht="29" customHeight="1">
      <x:c r="A1" s="3" t="str">
        <x:v>数据口径与使用边界</x:v>
      </x:c>
    </x:row>
    <x:row r="2" ht="30" customHeight="1">
      <x:c r="A2" s="7" t="str">
        <x:v>C.P.数据来自 Bách Hóa Xanh 官方零售页面；本表用于品牌零售端跟踪，不能替代越南全市场的猪肉或批发价格。</x:v>
      </x:c>
    </x:row>
    <x:row r="4">
      <x:c r="A4" s="13" t="str">
        <x:v>项目</x:v>
      </x:c>
      <x:c r="B4" s="13" t="str">
        <x:v>本次做法</x:v>
      </x:c>
      <x:c r="C4" s="13" t="str">
        <x:v>为什么重要</x:v>
      </x:c>
      <x:c r="D4" s="13" t="str">
        <x:v>来源/操作</x:v>
      </x:c>
    </x:row>
    <x:row r="5" ht="50" customHeight="1">
      <x:c r="A5" s="24" t="str">
        <x:v>SKU范围</x:v>
      </x:c>
      <x:c r="B5" s="26" t="str">
        <x:v>C.P.专题页当前展示10个SKU。</x:v>
      </x:c>
      <x:c r="C5" s="26" t="str">
        <x:v>“全部”只指该公开页面的当前展示，不等于 C.P. 全渠道全产品线。</x:v>
      </x:c>
      <x:c r="D5" s="26" t="str">
        <x:v>https://www.bachhoaxanh.com/thit-heo-cp</x:v>
      </x:c>
    </x:row>
    <x:row r="6" ht="50" customHeight="1">
      <x:c r="A6" s="24" t="str">
        <x:v>价格定义</x:v>
      </x:c>
      <x:c r="B6" s="26" t="str">
        <x:v>保留常规包装价及促销包装价；实际价/kg按促销价。</x:v>
      </x:c>
      <x:c r="C6" s="26" t="str">
        <x:v>促销价会随库存和活动结束变化，不能与常规价混用。</x:v>
      </x:c>
      <x:c r="D6" s="26" t="str">
        <x:v>明细I—M列为公式。</x:v>
      </x:c>
    </x:row>
    <x:row r="7" ht="50" customHeight="1">
      <x:c r="A7" s="24" t="str">
        <x:v>单位换算</x:v>
      </x:c>
      <x:c r="B7" s="26" t="str">
        <x:v>每公斤价格=包装价÷(净重g/1,000)。</x:v>
      </x:c>
      <x:c r="C7" s="26" t="str">
        <x:v>300g、400g、100g等规格不可只看包装价。</x:v>
      </x:c>
      <x:c r="D7" s="26" t="str">
        <x:v>Excel修改包装价或重量后自动更新。</x:v>
      </x:c>
    </x:row>
    <x:row r="8" ht="50" customHeight="1">
      <x:c r="A8" s="24" t="str">
        <x:v>代表性</x:v>
      </x:c>
      <x:c r="B8" s="26" t="str">
        <x:v>作为 C.P.品牌冷鲜零售价格哨点。</x:v>
      </x:c>
      <x:c r="C8" s="26" t="str">
        <x:v>越南整体价格还需复核其他品牌、传统市场、批发及地区口径。</x:v>
      </x:c>
      <x:c r="D8" s="26" t="str">
        <x:v>报告中不将其表述为“全国均价”。</x:v>
      </x:c>
    </x:row>
    <x:row r="9" ht="50" customHeight="1">
      <x:c r="A9" s="24" t="str">
        <x:v>地区影响</x:v>
      </x:c>
      <x:c r="B9" s="26" t="str">
        <x:v>页面未固定最终配送门店。</x:v>
      </x:c>
      <x:c r="C9" s="26" t="str">
        <x:v>Bách Hóa Xanh显示价可随配送地址变化。</x:v>
      </x:c>
      <x:c r="D9" s="26" t="str">
        <x:v>如需城市比较，应锁定同一城市/门店后采集。</x:v>
      </x:c>
    </x:row>
    <x:row r="10" ht="50" customHeight="1">
      <x:c r="A10" s="24" t="str">
        <x:v>可追溯性</x:v>
      </x:c>
      <x:c r="B10" s="26" t="str">
        <x:v>每一行均含原始产品URL。</x:v>
      </x:c>
      <x:c r="C10" s="26" t="str">
        <x:v>便于核验实时价、库存、促销与规格。</x:v>
      </x:c>
      <x:c r="D10" s="26" t="str">
        <x:v>链接失效或价格变动时，以网页当天显示为准。</x:v>
      </x:c>
    </x:row>
  </x:sheetData>
  <x:mergeCells>
    <x:mergeCell ref="A1:D1"/>
    <x:mergeCell ref="A2:D2"/>
  </x:mergeCells>
  <x:pageMargins left="0.7" right="0.7" top="0.75" bottom="0.75" header="0.3" footer="0.3"/>
</x:worksheet>
</file>