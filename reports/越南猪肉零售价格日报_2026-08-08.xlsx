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dau-gion-meatcool-premium-400g" TargetMode="External" Id="rId1"/><Relationship Type="http://schemas.openxmlformats.org/officeDocument/2006/relationships/hyperlink" Target="https://kingfoodmart.com/thit-heo/ba-roi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cot-let-heo-meatcool-khay-300g" TargetMode="External" Id="rId5"/><Relationship Type="http://schemas.openxmlformats.org/officeDocument/2006/relationships/hyperlink" Target="https://kingfoodmart.com/thit-heo/nac-dam-heo-vinh-tan-400g-1-khay-63124" TargetMode="External" Id="rId6"/><Relationship Type="http://schemas.openxmlformats.org/officeDocument/2006/relationships/hyperlink" Target="https://kingfoodmart.com/thit-heo/nac-cot-let-cat-vinh-tan-khay-400g-1-khay" TargetMode="External" Id="rId7"/><Relationship Type="http://schemas.openxmlformats.org/officeDocument/2006/relationships/hyperlink" Target="https://kingfoodmart.com/thit-heo/nac-dui-heo-cat-xao-vinh-tan-khay-200g" TargetMode="External" Id="rId8"/><Relationship Type="http://schemas.openxmlformats.org/officeDocument/2006/relationships/hyperlink" Target="https://winmart.vn/products/meat-deli-sig-suon-than-suon-non--s10281593" TargetMode="External" Id="rId9"/><Relationship Type="http://schemas.openxmlformats.org/officeDocument/2006/relationships/hyperlink" Target="https://winmart.vn/products/meat-deli-ba-roi-heo--s10617959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dau-gion-meatcool-premium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400g-1-khay-63124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越南猪肉零售价格日报｜2026-08-08</t>
        </is>
      </c>
    </row>
    <row r="2" ht="34" customHeight="1">
      <c r="A2" s="2" t="inlineStr">
        <is>
          <t>采集时间：越南时间 05:18。所有商品售价均统一折算为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10条在售商品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10组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越南猪肉零售明细｜2026-08-08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đầu giòn Meatcool Premium 360-440g</t>
        </is>
      </c>
      <c r="H5" s="5" t="inlineStr">
        <is>
          <t>冷鲜</t>
        </is>
      </c>
      <c r="I5" s="7" t="n">
        <v>400</v>
      </c>
      <c r="J5" s="7" t="n">
        <v>130800</v>
      </c>
      <c r="K5" s="7" t="n">
        <v>327000</v>
      </c>
      <c r="L5" s="7" t="n">
        <v>277950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https://kingfoodmart.com/thit-heo/nac-dam-heo-dau-gion-meatcool-premium-400g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五花肉</t>
        </is>
      </c>
      <c r="G6" s="5" t="inlineStr">
        <is>
          <t>Ba rọi heo Meatcool 360-440g</t>
        </is>
      </c>
      <c r="H6" s="5" t="inlineStr">
        <is>
          <t>冷鲜</t>
        </is>
      </c>
      <c r="I6" s="7" t="n">
        <v>400</v>
      </c>
      <c r="J6" s="7" t="n">
        <v>99600</v>
      </c>
      <c r="K6" s="7" t="n">
        <v>249000</v>
      </c>
      <c r="L6" s="7" t="n">
        <v>195000</v>
      </c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https://kingfoodmart.com/thit-heo/ba-roi-heo-meatcool-400g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猪排</t>
        </is>
      </c>
      <c r="G9" s="5" t="inlineStr">
        <is>
          <t>Cốt lết heo Meatcool khay 300g</t>
        </is>
      </c>
      <c r="H9" s="5" t="inlineStr">
        <is>
          <t>冷鲜</t>
        </is>
      </c>
      <c r="I9" s="7" t="n">
        <v>300</v>
      </c>
      <c r="J9" s="7" t="n">
        <v>35000</v>
      </c>
      <c r="K9" s="7" t="n">
        <v>116667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https://kingfoodmart.com/thit-heo/cot-let-heo-meatcool-khay-300g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梅花肉</t>
        </is>
      </c>
      <c r="G10" s="5" t="inlineStr">
        <is>
          <t>Nạc dăm heo Vĩnh Tân 400g</t>
        </is>
      </c>
      <c r="H10" s="5" t="inlineStr">
        <is>
          <t>冷鲜</t>
        </is>
      </c>
      <c r="I10" s="7" t="n">
        <v>400</v>
      </c>
      <c r="J10" s="7" t="n">
        <v>77000</v>
      </c>
      <c r="K10" s="7" t="n">
        <v>192500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https://kingfoodmart.com/thit-heo/nac-dam-heo-vinh-tan-400g-1-khay-63124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猪排</t>
        </is>
      </c>
      <c r="G11" s="5" t="inlineStr">
        <is>
          <t>Nạc cốt lết cắt Vĩnh Tân khay 400g</t>
        </is>
      </c>
      <c r="H11" s="5" t="inlineStr">
        <is>
          <t>冷鲜</t>
        </is>
      </c>
      <c r="I11" s="7" t="n">
        <v>400</v>
      </c>
      <c r="J11" s="7" t="n">
        <v>79000</v>
      </c>
      <c r="K11" s="7" t="n">
        <v>197500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https://kingfoodmart.com/thit-heo/nac-cot-let-cat-vinh-tan-khay-400g-1-khay</t>
        </is>
      </c>
    </row>
    <row r="12" ht="32" customHeight="1">
      <c r="A12" s="5" t="inlineStr">
        <is>
          <t>南部</t>
        </is>
      </c>
      <c r="B12" s="5" t="inlineStr">
        <is>
          <t>胡志明市/Kingfoodmart默认门店</t>
        </is>
      </c>
      <c r="C12" s="5" t="inlineStr">
        <is>
          <t>Kingfoodmart</t>
        </is>
      </c>
      <c r="D12" s="5" t="inlineStr">
        <is>
          <t>Vĩnh Tân</t>
        </is>
      </c>
      <c r="E12" s="5" t="inlineStr">
        <is>
          <t>Vĩnh Tân</t>
        </is>
      </c>
      <c r="F12" s="5" t="inlineStr">
        <is>
          <t>后腿肉</t>
        </is>
      </c>
      <c r="G12" s="5" t="inlineStr">
        <is>
          <t>Nạc đùi heo cắt xào Vĩnh Tân khay 200g</t>
        </is>
      </c>
      <c r="H12" s="5" t="inlineStr">
        <is>
          <t>冷鲜</t>
        </is>
      </c>
      <c r="I12" s="7" t="n">
        <v>200</v>
      </c>
      <c r="J12" s="7" t="n">
        <v>33000</v>
      </c>
      <c r="K12" s="7" t="n">
        <v>165000</v>
      </c>
      <c r="L12" s="7" t="n"/>
      <c r="M12" s="7">
        <f>IF(L12&lt;&gt;"",L12,K12)</f>
        <v/>
      </c>
      <c r="N12" s="5" t="inlineStr">
        <is>
          <t>中：交易页含价格/重量/库存，但尚未锁定具体门店</t>
        </is>
      </c>
      <c r="O12" s="8" t="inlineStr">
        <is>
          <t>https://kingfoodmart.com/thit-heo/nac-dui-heo-cat-xao-vinh-tan-khay-200g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小排</t>
        </is>
      </c>
      <c r="G13" s="5" t="inlineStr">
        <is>
          <t>MEATDELI [PRE] Thịt Sườn thăn (sườn non) (S)</t>
        </is>
      </c>
      <c r="H13" s="5" t="inlineStr">
        <is>
          <t>冷鲜</t>
        </is>
      </c>
      <c r="I13" s="7" t="n">
        <v>431</v>
      </c>
      <c r="J13" s="7" t="n">
        <v>124085</v>
      </c>
      <c r="K13" s="7" t="n">
        <v>287900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https://winmart.vn/products/meat-deli-sig-suon-than-suon-non--s10281593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五花肉</t>
        </is>
      </c>
      <c r="G14" s="5" t="inlineStr">
        <is>
          <t>MEATDELI Thịt Ba Rọi heo (S)</t>
        </is>
      </c>
      <c r="H14" s="5" t="inlineStr">
        <is>
          <t>冷鲜</t>
        </is>
      </c>
      <c r="I14" s="7" t="n">
        <v>385</v>
      </c>
      <c r="J14" s="7" t="n">
        <v>76962</v>
      </c>
      <c r="K14" s="7" t="n">
        <v>199900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4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8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4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7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Kingfoodmart</t>
        </is>
      </c>
      <c r="B9" s="5" t="inlineStr">
        <is>
          <t>Meatcool</t>
        </is>
      </c>
      <c r="C9" s="5" t="inlineStr">
        <is>
          <t>五花肉</t>
        </is>
      </c>
      <c r="D9" s="5" t="inlineStr">
        <is>
          <t>胡志明市/Kingfoodmart默认门店</t>
        </is>
      </c>
      <c r="E9" s="7" t="n">
        <v>4</v>
      </c>
      <c r="F9" s="7" t="n">
        <v>195000</v>
      </c>
      <c r="G9" s="7" t="n">
        <v>195000</v>
      </c>
      <c r="H9" s="7" t="n">
        <v>195000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后腿肉</t>
        </is>
      </c>
      <c r="D10" s="5" t="inlineStr">
        <is>
          <t>胡志明市/Kingfoodmart默认门店</t>
        </is>
      </c>
      <c r="E10" s="7" t="n">
        <v>7</v>
      </c>
      <c r="F10" s="7" t="n">
        <v>138889</v>
      </c>
      <c r="G10" s="7" t="n">
        <v>138889</v>
      </c>
      <c r="H10" s="7" t="n">
        <v>138889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梅花肉</t>
        </is>
      </c>
      <c r="D11" s="5" t="inlineStr">
        <is>
          <t>胡志明市/Kingfoodmart默认门店</t>
        </is>
      </c>
      <c r="E11" s="7" t="n">
        <v>8</v>
      </c>
      <c r="F11" s="7" t="n">
        <v>192100</v>
      </c>
      <c r="G11" s="7" t="n">
        <v>277950</v>
      </c>
      <c r="H11" s="7" t="n">
        <v>192100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猪排</t>
        </is>
      </c>
      <c r="D12" s="5" t="inlineStr">
        <is>
          <t>胡志明市/Kingfoodmart默认门店</t>
        </is>
      </c>
      <c r="E12" s="7" t="n">
        <v>7</v>
      </c>
      <c r="F12" s="7" t="n">
        <v>138889</v>
      </c>
      <c r="G12" s="7" t="n">
        <v>116667</v>
      </c>
      <c r="H12" s="7" t="n">
        <v>116667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Vĩnh Tân</t>
        </is>
      </c>
      <c r="C13" s="5" t="inlineStr">
        <is>
          <t>后腿肉</t>
        </is>
      </c>
      <c r="D13" s="5" t="inlineStr">
        <is>
          <t>胡志明市/Kingfoodmart默认门店</t>
        </is>
      </c>
      <c r="E13" s="7" t="n">
        <v>4</v>
      </c>
      <c r="F13" s="7" t="n">
        <v>165000</v>
      </c>
      <c r="G13" s="7" t="n">
        <v>165000</v>
      </c>
      <c r="H13" s="7" t="n">
        <v>165000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梅花肉</t>
        </is>
      </c>
      <c r="D14" s="5" t="inlineStr">
        <is>
          <t>胡志明市/Kingfoodmart默认门店</t>
        </is>
      </c>
      <c r="E14" s="7" t="n">
        <v>8</v>
      </c>
      <c r="F14" s="7" t="n">
        <v>190000</v>
      </c>
      <c r="G14" s="7" t="n">
        <v>192500</v>
      </c>
      <c r="H14" s="7" t="n">
        <v>190000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猪排</t>
        </is>
      </c>
      <c r="D15" s="5" t="inlineStr">
        <is>
          <t>胡志明市/Kingfoodmart默认门店</t>
        </is>
      </c>
      <c r="E15" s="7" t="n">
        <v>8</v>
      </c>
      <c r="F15" s="7" t="n">
        <v>197500</v>
      </c>
      <c r="G15" s="7" t="n">
        <v>197500</v>
      </c>
      <c r="H15" s="7" t="n">
        <v>197500</v>
      </c>
      <c r="I15" s="9">
        <f>IF(E15&lt;2,"",G15/F15-1)</f>
        <v/>
      </c>
      <c r="J15" s="5">
        <f>IF(E15&lt;2,"积累中",IF(I15&gt;=0.01,"上涨",IF(I15&lt;=-0.01,"下降","平稳")))</f>
        <v/>
      </c>
    </row>
  </sheetData>
  <mergeCells count="2">
    <mergeCell ref="A1:J1"/>
    <mergeCell ref="A2:J2"/>
  </mergeCells>
  <conditionalFormatting sqref="I5:I15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https://kingfoodmart.com/thit-heo/nac-dam-heo-dau-gion-meatcool-premium-400g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https://kingfoodmart.com/thit-heo/nac-dam-heo-vinh-tan-400g-1-khay-63124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2026-08-07T22:18:39Z</dcterms:created>
  <dcterms:modified xmlns:dcterms="http://purl.org/dc/terms/" xmlns:xsi="http://www.w3.org/2001/XMLSchema-instance" xsi:type="dcterms:W3CDTF">2026-08-07T22:18:39Z</dcterms:modified>
</cp:coreProperties>
</file>