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d4251405f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结论" sheetId="1" r:id="R709f868916cd447b"/>
    <x:sheet xmlns:r="http://schemas.openxmlformats.org/officeDocument/2006/relationships" name="行业规模" sheetId="2" r:id="Raed92dfeb19d4939"/>
    <x:sheet xmlns:r="http://schemas.openxmlformats.org/officeDocument/2006/relationships" name="猪场成绩" sheetId="3" r:id="R41bb511957b044ad"/>
    <x:sheet xmlns:r="http://schemas.openxmlformats.org/officeDocument/2006/relationships" name="价格与成本" sheetId="4" r:id="R5f8d30900ce64996"/>
    <x:sheet xmlns:r="http://schemas.openxmlformats.org/officeDocument/2006/relationships" name="肉质与胴体" sheetId="5" r:id="Rc479d48fdb2e438e"/>
    <x:sheet xmlns:r="http://schemas.openxmlformats.org/officeDocument/2006/relationships" name="来源与下载" sheetId="6" r:id="R24512c3670df456c"/>
    <x:sheet xmlns:r="http://schemas.openxmlformats.org/officeDocument/2006/relationships" name="图表数据" sheetId="7" r:id="R3a65f651eaeb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#,##0.0"/>
    <x:numFmt numFmtId="204" formatCode="0.000"/>
  </x:numFmts>
  <x:fonts count="10">
    <x:font>
      <x:sz val="11"/>
      <x:name val="Carlito"/>
    </x:font>
    <x:font>
      <x:b/>
      <x:sz val="16"/>
      <x:color rgb="FFFFFFFF"/>
      <x:name val="Aptos Display"/>
    </x:font>
    <x:font>
      <x:i/>
      <x:sz val="11"/>
      <x:color rgb="FF3D4B57"/>
      <x:name val="Carlito"/>
    </x:font>
    <x:font>
      <x:b/>
      <x:sz val="11"/>
      <x:color rgb="FFFFFFFF"/>
      <x:name val="Carlito"/>
    </x:font>
    <x:font>
      <x:b/>
      <x:sz val="11"/>
      <x:color rgb="FF123047"/>
      <x:name val="Carlito"/>
    </x:font>
    <x:font>
      <x:i/>
      <x:sz val="11"/>
      <x:color rgb="FF6B4C00"/>
      <x:name val="Carlito"/>
    </x:font>
    <x:font>
      <x:sz val="11"/>
      <x:color rgb="FF0563C1"/>
      <x:name val="Carlito"/>
    </x:font>
    <x:font>
      <x:b/>
      <x:sz val="10"/>
      <x:color rgb="FF1F2933"/>
      <x:name val="Aptos"/>
    </x:font>
    <x:font>
      <x:i/>
      <x:sz val="10"/>
      <x:color rgb="FF1F2933"/>
      <x:name val="Aptos"/>
    </x:font>
    <x:font>
      <x:sz val="10"/>
      <x:color rgb="FF1F293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0F4"/>
      </x:patternFill>
    </x:fill>
    <x:fill>
      <x:patternFill patternType="solid">
        <x:fgColor rgb="FF0F5B66"/>
      </x:patternFill>
    </x:fill>
    <x:fill>
      <x:patternFill patternType="solid">
        <x:fgColor rgb="FFE6F3F3"/>
      </x:patternFill>
    </x:fill>
    <x:fill>
      <x:patternFill patternType="solid">
        <x:fgColor rgb="FFDCEAF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7DEE4"/>
      </x:left>
      <x:right style="thin">
        <x:color rgb="FFD7DEE4"/>
      </x:right>
      <x:top style="thin">
        <x:color rgb="FFD7DEE4"/>
      </x:top>
      <x:bottom style="thin">
        <x:color rgb="FFD7DEE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202" fontId="9" fillId="0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204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97da828314626" /><Relationship Type="http://schemas.openxmlformats.org/officeDocument/2006/relationships/theme" Target="/xl/theme/theme1.xml" Id="Ra7fe8a11f8a14e1b" /><Relationship Type="http://schemas.openxmlformats.org/officeDocument/2006/relationships/sharedStrings" Target="/xl/sharedStrings.xml" Id="Rdc95e278737d4811" /><Relationship Type="http://schemas.openxmlformats.org/officeDocument/2006/relationships/worksheet" Target="/xl/worksheets/sheet1.xml" Id="R709f868916cd447b" /><Relationship Type="http://schemas.openxmlformats.org/officeDocument/2006/relationships/worksheet" Target="/xl/worksheets/sheet2.xml" Id="Raed92dfeb19d4939" /><Relationship Type="http://schemas.openxmlformats.org/officeDocument/2006/relationships/worksheet" Target="/xl/worksheets/sheet3.xml" Id="R41bb511957b044ad" /><Relationship Type="http://schemas.openxmlformats.org/officeDocument/2006/relationships/worksheet" Target="/xl/worksheets/sheet4.xml" Id="R5f8d30900ce64996" /><Relationship Type="http://schemas.openxmlformats.org/officeDocument/2006/relationships/worksheet" Target="/xl/worksheets/sheet5.xml" Id="Rc479d48fdb2e438e" /><Relationship Type="http://schemas.openxmlformats.org/officeDocument/2006/relationships/worksheet" Target="/xl/worksheets/sheet6.xml" Id="R24512c3670df456c" /><Relationship Type="http://schemas.openxmlformats.org/officeDocument/2006/relationships/worksheet" Target="/xl/worksheets/sheet7.xml" Id="R3a65f651eaeb42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444c156ead42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生产与表观消费趋势（千吨胴体当量）</a:t>
            </a:r>
          </a:p>
        </c:rich>
      </c:tx>
    </c:title>
    <c:plotArea>
      <c:lineChart>
        <c:grouping val="standard"/>
        <c:ser>
          <c:idx val="0"/>
          <c:order val="0"/>
          <c:tx>
            <c:v>生产</c:v>
          </c:tx>
          <c:marker>
            <c:symbol val="none"/>
          </c:marker>
          <c:cat>
            <c:strRef>
              <c:f>'图表数据'!$A$5:$A$8</c:f>
              <c:strCache>
                <c:ptCount val="0"/>
              </c:strCache>
            </c:strRef>
          </c:cat>
          <c:val>
            <c:numRef>
              <c:f>'图表数据'!$B$5:$B$8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表观消费</c:v>
          </c:tx>
          <c:marker>
            <c:symbol val="none"/>
          </c:marker>
          <c:cat>
            <c:strRef>
              <c:f>'图表数据'!$A$5:$A$8</c:f>
              <c:strCache>
                <c:ptCount val="0"/>
              </c:strCache>
            </c:strRef>
          </c:cat>
          <c:val>
            <c:numRef>
              <c:f>'图表数据'!$C$5:$C$8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444c156ead42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ef6a29ae563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16" hidden="0" customWidth="1"/>
    <x:col min="5" max="5" width="35" hidden="0" customWidth="1"/>
  </x:cols>
  <x:sheetData>
    <x:row r="1" ht="30" customHeight="1">
      <x:c r="A1" s="3" t="str">
        <x:v>法国养猪行业｜2024全国基准与2025动态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6" t="str">
        <x:v>主数据以IFIP《Le porc par les chiffres 2025-2026》为主；2025年只使用已公开的阶段性或官方年度判断，避免把预估当作最终统计。</x:v>
      </x:c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结论（事实 → 含义 → 行动）</x:v>
      </x:c>
      <x:c r="B4" s="38"/>
      <x:c r="C4" s="38"/>
      <x:c r="D4" s="38"/>
      <x:c r="E4" s="38"/>
      <x:c r="F4" s="38"/>
      <x:c r="G4" s="38"/>
      <x:c r="H4" s="38"/>
    </x:row>
    <x:row r="5" ht="58" customHeight="1">
      <x:c r="A5" s="39" t="str">
        <x:v>1. 供给短期企稳，长期仍收缩</x:v>
      </x:c>
      <x:c r="B5" s="40" t="str">
        <x:v>2024年法国猪肉生产2.133Mt（胴体当量），同比+2.3%；但2014—2024年待宰猪减少170万头（-7.3%）。</x:v>
      </x:c>
      <x:c r="C5" s="40" t="str">
        <x:v>2024反弹来自屠宰稳定与平均胴体增重，不代表产能结构已恢复。</x:v>
      </x:c>
      <x:c r="D5" s="40" t="str">
        <x:v>监测母猪场数量、Bretagne产量与出栏重，区分“重量增长”与“头数增长”。</x:v>
      </x:c>
      <x:c r="E5" s="37"/>
      <x:c r="F5" s="37"/>
      <x:c r="G5" s="37"/>
      <x:c r="H5" s="37"/>
    </x:row>
    <x:row r="6" ht="58" customHeight="1">
      <x:c r="A6" s="39" t="str">
        <x:v>2. 行业集中在西部和合作社</x:v>
      </x:c>
      <x:c r="B6" s="40" t="str">
        <x:v>Bretagne占2024年法国商品猪56.9%；31家生产者组织销售19.1m头，占全国88%。</x:v>
      </x:c>
      <x:c r="C6" s="40" t="str">
        <x:v>区域性疫病、环保或屠宰瓶颈可能快速传导至全国。</x:v>
      </x:c>
      <x:c r="D6" s="40" t="str">
        <x:v>把西部产区、主要合作社和屠宰能力列为风险雷达。</x:v>
      </x:c>
      <x:c r="E6" s="37"/>
      <x:c r="F6" s="37"/>
      <x:c r="G6" s="37"/>
      <x:c r="H6" s="37"/>
    </x:row>
    <x:row r="7" ht="58" customHeight="1">
      <x:c r="A7" s="39" t="str">
        <x:v>3. 生产效率提升空间主要在存活和饲料</x:v>
      </x:c>
      <x:c r="B7" s="40" t="str">
        <x:v>GTE全样本：30–115kg料肉比2.61，前三分之一2.55；死亡/淘汰3.4% vs 2.9%。</x:v>
      </x:c>
      <x:c r="C7" s="40" t="str">
        <x:v>头部场的效率差来自多项管理要素，不能归因于单一遗传。</x:v>
      </x:c>
      <x:c r="D7" s="40" t="str">
        <x:v>以料肉比、日增重、死亡/淘汰和TMP联合比较。</x:v>
      </x:c>
      <x:c r="E7" s="37"/>
      <x:c r="F7" s="37"/>
      <x:c r="G7" s="37"/>
      <x:c r="H7" s="37"/>
    </x:row>
    <x:row r="8" ht="58" customHeight="1">
      <x:c r="A8" s="39" t="str">
        <x:v>4. 成本压力缓和，但价格下行</x:v>
      </x:c>
      <x:c r="B8" s="40" t="str">
        <x:v>2024饲料指数323€/t（同比-11.4%），Cadran breton猪价1.90€/kg（同比-9.7%）。</x:v>
      </x:c>
      <x:c r="C8" s="40" t="str">
        <x:v>饲料下降改善毛利，但售价同步回落；须按本场料价和结算规则重算。</x:v>
      </x:c>
      <x:c r="D8" s="40" t="str">
        <x:v>建立“猪价–饲料价–技术指标”的周度毛利桥。</x:v>
      </x:c>
      <x:c r="E8" s="37"/>
      <x:c r="F8" s="37"/>
      <x:c r="G8" s="37"/>
      <x:c r="H8" s="37"/>
    </x:row>
    <x:row r="9">
      <x:c r="A9" s="37"/>
      <x:c r="B9" s="37"/>
      <x:c r="C9" s="37"/>
      <x:c r="D9" s="37"/>
      <x:c r="E9" s="37"/>
      <x:c r="F9" s="37"/>
      <x:c r="G9" s="37"/>
      <x:c r="H9" s="37"/>
    </x:row>
    <x:row r="10">
      <x:c r="A10" s="38" t="str">
        <x:v>核心数字</x:v>
      </x:c>
      <x:c r="B10" s="38"/>
      <x:c r="C10" s="38"/>
      <x:c r="D10" s="38"/>
      <x:c r="E10" s="38"/>
      <x:c r="F10" s="38"/>
      <x:c r="G10" s="38"/>
      <x:c r="H10" s="38"/>
    </x:row>
    <x:row r="11">
      <x:c r="A11" s="41" t="str">
        <x:v>指标</x:v>
      </x:c>
      <x:c r="B11" s="41" t="str">
        <x:v>最新值</x:v>
      </x:c>
      <x:c r="C11" s="41" t="str">
        <x:v>年份</x:v>
      </x:c>
      <x:c r="D11" s="41" t="str">
        <x:v>证据等级</x:v>
      </x:c>
      <x:c r="E11" s="41" t="str">
        <x:v>解释</x:v>
      </x:c>
      <x:c r="F11" s="37"/>
      <x:c r="G11" s="37"/>
      <x:c r="H11" s="37"/>
    </x:row>
    <x:row r="12">
      <x:c r="A12" s="40" t="str">
        <x:v>猪肉生产（胴体当量）</x:v>
      </x:c>
      <x:c r="B12" s="42" t="n">
        <x:v>2133</x:v>
      </x:c>
      <x:c r="C12" s="40" t="str">
        <x:v>2024</x:v>
      </x:c>
      <x:c r="D12" s="40" t="str">
        <x:v>高</x:v>
      </x:c>
      <x:c r="E12" s="40" t="str">
        <x:v>千吨；Production Indigène Brute</x:v>
      </x:c>
      <x:c r="F12" s="37"/>
      <x:c r="G12" s="37"/>
      <x:c r="H12" s="37"/>
    </x:row>
    <x:row r="13">
      <x:c r="A13" s="40" t="str">
        <x:v>商品猪产量</x:v>
      </x:c>
      <x:c r="B13" s="42" t="n">
        <x:v>21676238</x:v>
      </x:c>
      <x:c r="C13" s="40" t="str">
        <x:v>2024</x:v>
      </x:c>
      <x:c r="D13" s="40" t="str">
        <x:v>高</x:v>
      </x:c>
      <x:c r="E13" s="40" t="str">
        <x:v>头；法国本土数据</x:v>
      </x:c>
      <x:c r="F13" s="37"/>
      <x:c r="G13" s="37"/>
      <x:c r="H13" s="37"/>
    </x:row>
    <x:row r="14">
      <x:c r="A14" s="40" t="str">
        <x:v>GTTT断奶仔猪/生产母猪/年</x:v>
      </x:c>
      <x:c r="B14" s="43" t="n">
        <x:v>33.5</x:v>
      </x:c>
      <x:c r="C14" s="40" t="str">
        <x:v>2024</x:v>
      </x:c>
      <x:c r="D14" s="40" t="str">
        <x:v>高</x:v>
      </x:c>
      <x:c r="E14" s="40" t="str">
        <x:v>1,345个猪场样本</x:v>
      </x:c>
      <x:c r="F14" s="37"/>
      <x:c r="G14" s="37"/>
      <x:c r="H14" s="37"/>
    </x:row>
    <x:row r="15">
      <x:c r="A15" s="40" t="str">
        <x:v>GTE商品猪/在栏母猪/年</x:v>
      </x:c>
      <x:c r="B15" s="43" t="n">
        <x:v>25.9</x:v>
      </x:c>
      <x:c r="C15" s="40" t="str">
        <x:v>2024</x:v>
      </x:c>
      <x:c r="D15" s="40" t="str">
        <x:v>高</x:v>
      </x:c>
      <x:c r="E15" s="40" t="str">
        <x:v>1,062个自繁自养场样本</x:v>
      </x:c>
      <x:c r="F15" s="37"/>
      <x:c r="G15" s="37"/>
      <x:c r="H15" s="37"/>
    </x:row>
    <x:row r="16">
      <x:c r="A16" s="40" t="str">
        <x:v>育肥技术料肉比30–115kg</x:v>
      </x:c>
      <x:c r="B16" s="43" t="n">
        <x:v>2.61</x:v>
      </x:c>
      <x:c r="C16" s="40" t="str">
        <x:v>2024</x:v>
      </x:c>
      <x:c r="D16" s="40" t="str">
        <x:v>高</x:v>
      </x:c>
      <x:c r="E16" s="40" t="str">
        <x:v>GTE全样本</x:v>
      </x:c>
      <x:c r="F16" s="37"/>
      <x:c r="G16" s="37"/>
      <x:c r="H16" s="37"/>
    </x:row>
    <x:row r="17">
      <x:c r="A17" s="40" t="str">
        <x:v>TMP（瘦肉率）</x:v>
      </x:c>
      <x:c r="B17" s="44" t="n">
        <x:v>0.612</x:v>
      </x:c>
      <x:c r="C17" s="40" t="str">
        <x:v>2024</x:v>
      </x:c>
      <x:c r="D17" s="40" t="str">
        <x:v>高</x:v>
      </x:c>
      <x:c r="E17" s="40" t="str">
        <x:v>GTE报告口径</x:v>
      </x:c>
      <x:c r="F17" s="37"/>
      <x:c r="G17" s="37"/>
      <x:c r="H17" s="37"/>
    </x:row>
    <x:row r="18">
      <x:c r="A18" s="40" t="str">
        <x:v>2025动态</x:v>
      </x:c>
      <x:c r="B18" s="44" t="n">
        <x:v>0.005</x:v>
      </x:c>
      <x:c r="C18" s="40" t="str">
        <x:v>2025前9个月</x:v>
      </x:c>
      <x:c r="D18" s="40" t="str">
        <x:v>中</x:v>
      </x:c>
      <x:c r="E18" s="40" t="str">
        <x:v>头数同比+0.5%，非全年最终值</x:v>
      </x:c>
      <x:c r="F18" s="37"/>
      <x:c r="G18" s="37"/>
      <x:c r="H18" s="37"/>
    </x:row>
    <x:row r="19">
      <x:c r="A19" s="37"/>
      <x:c r="B19" s="37"/>
      <x:c r="C19" s="37"/>
      <x:c r="D19" s="37"/>
      <x:c r="E19" s="37"/>
      <x:c r="F19" s="37"/>
      <x:c r="G19" s="37"/>
      <x:c r="H19" s="37"/>
    </x:row>
    <x:row r="20">
      <x:c r="A20" s="45" t="str">
        <x:v>重要边界：法国GTTT/GTE为参加技术管理数据库的样本，并非全部猪场；肉质页区分商业场胴体数据、质量标签统计与研究发现。当前公开资料不足以建立“法国全国平均每公斤完全成本”，本表只提供可核验的饲料与猪价指标。</x:v>
      </x:c>
      <x:c r="B20" s="45"/>
      <x:c r="C20" s="45"/>
      <x:c r="D20" s="45"/>
      <x:c r="E20" s="45"/>
      <x:c r="F20" s="45"/>
      <x:c r="G20" s="45"/>
      <x:c r="H20" s="45"/>
    </x:row>
    <x:row r="21">
      <x:c r="A21" s="45"/>
      <x:c r="B21" s="45"/>
      <x:c r="C21" s="45"/>
      <x:c r="D21" s="45"/>
      <x:c r="E21" s="45"/>
      <x:c r="F21" s="45"/>
      <x:c r="G21" s="45"/>
      <x:c r="H21" s="45"/>
    </x:row>
    <x:row r="22">
      <x:c r="A22" s="45"/>
      <x:c r="B22" s="45"/>
      <x:c r="C22" s="45"/>
      <x:c r="D22" s="45"/>
      <x:c r="E22" s="45"/>
      <x:c r="F22" s="45"/>
      <x:c r="G22" s="45"/>
      <x:c r="H22" s="45"/>
    </x:row>
  </x:sheetData>
  <x:mergeCells>
    <x:mergeCell ref="A1:H1"/>
    <x:mergeCell ref="A2:H2"/>
    <x:mergeCell ref="A4:H4"/>
    <x:mergeCell ref="A10:H10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法国养猪行业规模与结构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36" t="str">
        <x:v>全国总量与区域/组织结构。2024为完整年度最新基准，2025已公开的变化另注。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</x:row>
    <x:row r="4">
      <x:c r="A4" s="38" t="str">
        <x:v>供需平衡｜胴体当量</x:v>
      </x:c>
      <x:c r="B4" s="38"/>
      <x:c r="C4" s="38"/>
      <x:c r="D4" s="38"/>
      <x:c r="E4" s="38"/>
      <x:c r="F4" s="38"/>
      <x:c r="G4" s="37"/>
      <x:c r="H4" s="37"/>
      <x:c r="I4" s="37"/>
      <x:c r="J4" s="37"/>
      <x:c r="K4" s="37"/>
      <x:c r="L4" s="37"/>
      <x:c r="M4" s="37"/>
      <x:c r="N4" s="37"/>
      <x:c r="O4" s="37"/>
    </x:row>
    <x:row r="5">
      <x:c r="A5" s="41" t="str">
        <x:v>指标</x:v>
      </x:c>
      <x:c r="B5" s="41" t="str">
        <x:v>2021</x:v>
      </x:c>
      <x:c r="C5" s="41" t="str">
        <x:v>2022</x:v>
      </x:c>
      <x:c r="D5" s="41" t="str">
        <x:v>2023</x:v>
      </x:c>
      <x:c r="E5" s="41" t="str">
        <x:v>2024</x:v>
      </x:c>
      <x:c r="F5" s="41" t="str">
        <x:v>2024/23</x:v>
      </x:c>
      <x:c r="G5" s="37"/>
      <x:c r="H5" s="37"/>
      <x:c r="I5" s="37"/>
      <x:c r="J5" s="37"/>
      <x:c r="K5" s="37"/>
      <x:c r="L5" s="37"/>
      <x:c r="M5" s="37"/>
      <x:c r="N5" s="37"/>
      <x:c r="O5" s="37"/>
    </x:row>
    <x:row r="6">
      <x:c r="A6" s="40" t="str">
        <x:v>生产（千吨）</x:v>
      </x:c>
      <x:c r="B6" s="42" t="n">
        <x:v>2252</x:v>
      </x:c>
      <x:c r="C6" s="42" t="n">
        <x:v>2185</x:v>
      </x:c>
      <x:c r="D6" s="42" t="n">
        <x:v>2086</x:v>
      </x:c>
      <x:c r="E6" s="42" t="n">
        <x:v>2133</x:v>
      </x:c>
      <x:c r="F6" s="44" t="n">
        <x:f>E6/D6-1</x:f>
        <x:v>0.02253116011505263</x:v>
      </x:c>
      <x:c r="G6" s="37"/>
      <x:c r="H6" s="37"/>
      <x:c r="I6" s="37"/>
      <x:c r="J6" s="37"/>
      <x:c r="K6" s="37"/>
      <x:c r="L6" s="37"/>
      <x:c r="M6" s="37"/>
      <x:c r="N6" s="37"/>
      <x:c r="O6" s="37"/>
    </x:row>
    <x:row r="7">
      <x:c r="A7" s="40" t="str">
        <x:v>进口（千吨）</x:v>
      </x:c>
      <x:c r="B7" s="42" t="n">
        <x:v>622</x:v>
      </x:c>
      <x:c r="C7" s="42" t="n">
        <x:v>618</x:v>
      </x:c>
      <x:c r="D7" s="42" t="n">
        <x:v>614</x:v>
      </x:c>
      <x:c r="E7" s="42" t="n">
        <x:v>625</x:v>
      </x:c>
      <x:c r="F7" s="44" t="n">
        <x:f>E7/D7-1</x:f>
        <x:v>0.01791530944625408</x:v>
      </x:c>
      <x:c r="G7" s="37"/>
      <x:c r="H7" s="37"/>
      <x:c r="I7" s="37"/>
      <x:c r="J7" s="37"/>
      <x:c r="K7" s="37"/>
      <x:c r="L7" s="37"/>
      <x:c r="M7" s="37"/>
      <x:c r="N7" s="37"/>
      <x:c r="O7" s="37"/>
    </x:row>
    <x:row r="8">
      <x:c r="A8" s="40" t="str">
        <x:v>出口（千吨）</x:v>
      </x:c>
      <x:c r="B8" s="42" t="n">
        <x:v>684</x:v>
      </x:c>
      <x:c r="C8" s="42" t="n">
        <x:v>636</x:v>
      </x:c>
      <x:c r="D8" s="42" t="n">
        <x:v>583</x:v>
      </x:c>
      <x:c r="E8" s="42" t="n">
        <x:v>601</x:v>
      </x:c>
      <x:c r="F8" s="44" t="n">
        <x:f>E8/D8-1</x:f>
        <x:v>0.030874785591766818</x:v>
      </x:c>
      <x:c r="G8" s="37"/>
      <x:c r="H8" s="37"/>
      <x:c r="I8" s="37"/>
      <x:c r="J8" s="37"/>
      <x:c r="K8" s="37"/>
      <x:c r="L8" s="37"/>
      <x:c r="M8" s="37"/>
      <x:c r="N8" s="37"/>
      <x:c r="O8" s="37"/>
    </x:row>
    <x:row r="9">
      <x:c r="A9" s="40" t="str">
        <x:v>表观消费（千吨）</x:v>
      </x:c>
      <x:c r="B9" s="42" t="n">
        <x:v>2190</x:v>
      </x:c>
      <x:c r="C9" s="42" t="n">
        <x:v>2168</x:v>
      </x:c>
      <x:c r="D9" s="42" t="n">
        <x:v>2117</x:v>
      </x:c>
      <x:c r="E9" s="42" t="n">
        <x:v>2158</x:v>
      </x:c>
      <x:c r="F9" s="44" t="n">
        <x:f>E9/D9-1</x:f>
        <x:v>0.01936702881435992</x:v>
      </x:c>
      <x:c r="G9" s="37"/>
      <x:c r="H9" s="37"/>
      <x:c r="I9" s="37"/>
      <x:c r="J9" s="37"/>
      <x:c r="K9" s="37"/>
      <x:c r="L9" s="37"/>
      <x:c r="M9" s="37"/>
      <x:c r="N9" s="37"/>
      <x:c r="O9" s="37"/>
    </x:row>
    <x:row r="10">
      <x:c r="A10" s="40" t="str">
        <x:v>自给率</x:v>
      </x:c>
      <x:c r="B10" s="44" t="n">
        <x:v>1.028</x:v>
      </x:c>
      <x:c r="C10" s="44" t="n">
        <x:v>1.008</x:v>
      </x:c>
      <x:c r="D10" s="44" t="n">
        <x:v>0.985</x:v>
      </x:c>
      <x:c r="E10" s="44" t="n">
        <x:v>0.989</x:v>
      </x:c>
      <x:c r="F10" s="44" t="n">
        <x:f>E10-D10</x:f>
        <x:v>0.0040000000000000036</x:v>
      </x:c>
      <x:c r="G10" s="37"/>
      <x:c r="H10" s="37"/>
      <x:c r="I10" s="37"/>
      <x:c r="J10" s="37"/>
      <x:c r="K10" s="37"/>
      <x:c r="L10" s="37"/>
      <x:c r="M10" s="37"/>
      <x:c r="N10" s="37"/>
      <x:c r="O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</x:row>
    <x:row r="12">
      <x:c r="A12" s="38" t="str">
        <x:v>2024养殖场与商品猪结构</x:v>
      </x:c>
      <x:c r="B12" s="38"/>
      <x:c r="C12" s="38"/>
      <x:c r="D12" s="38"/>
      <x:c r="E12" s="38"/>
      <x:c r="F12" s="38"/>
      <x:c r="G12" s="37"/>
      <x:c r="H12" s="37"/>
      <x:c r="I12" s="37"/>
      <x:c r="J12" s="37"/>
      <x:c r="K12" s="37"/>
      <x:c r="L12" s="37"/>
      <x:c r="M12" s="37"/>
      <x:c r="N12" s="37"/>
      <x:c r="O12" s="37"/>
    </x:row>
    <x:row r="13">
      <x:c r="A13" s="41" t="str">
        <x:v>项目</x:v>
      </x:c>
      <x:c r="B13" s="41" t="str">
        <x:v>数值</x:v>
      </x:c>
      <x:c r="C13" s="41" t="str">
        <x:v>单位</x:v>
      </x:c>
      <x:c r="D13" s="41" t="str">
        <x:v>解读</x:v>
      </x:c>
      <x:c r="E13" s="41" t="str">
        <x:v>来源</x:v>
      </x:c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</x:row>
    <x:row r="14">
      <x:c r="A14" s="40" t="str">
        <x:v>全部养殖站点</x:v>
      </x:c>
      <x:c r="B14" s="42" t="n">
        <x:v>12588</x:v>
      </x:c>
      <x:c r="C14" s="40" t="str">
        <x:v>个</x:v>
      </x:c>
      <x:c r="D14" s="40" t="str">
        <x:v>包含小规模站点</x:v>
      </x:c>
      <x:c r="E14" s="40" t="str">
        <x:v>BDPORC/IFIP</x:v>
      </x:c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</x:row>
    <x:row r="15">
      <x:c r="A15" s="40" t="str">
        <x:v>年出栏≥300头站点</x:v>
      </x:c>
      <x:c r="B15" s="42" t="n">
        <x:v>8068</x:v>
      </x:c>
      <x:c r="C15" s="40" t="str">
        <x:v>个</x:v>
      </x:c>
      <x:c r="D15" s="40" t="str">
        <x:v>64%站点，贡献99.3%商品猪</x:v>
      </x:c>
      <x:c r="E15" s="40" t="str">
        <x:v>BDPORC/IFIP</x:v>
      </x:c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</x:row>
    <x:row r="16">
      <x:c r="A16" s="40" t="str">
        <x:v>商品猪产量</x:v>
      </x:c>
      <x:c r="B16" s="42" t="n">
        <x:v>21676238</x:v>
      </x:c>
      <x:c r="C16" s="40" t="str">
        <x:v>头</x:v>
      </x:c>
      <x:c r="D16" s="40" t="str">
        <x:v>法国本土</x:v>
      </x:c>
      <x:c r="E16" s="40" t="str">
        <x:v>BDPORC/IFIP</x:v>
      </x:c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</x:row>
    <x:row r="17">
      <x:c r="A17" s="40" t="str">
        <x:v>Bretagne商品猪</x:v>
      </x:c>
      <x:c r="B17" s="42" t="n">
        <x:v>12271848</x:v>
      </x:c>
      <x:c r="C17" s="40" t="str">
        <x:v>头</x:v>
      </x:c>
      <x:c r="D17" s="40" t="str">
        <x:v>占全国56.9%</x:v>
      </x:c>
      <x:c r="E17" s="40" t="str">
        <x:v>Agreste-SAA/IFIP</x:v>
      </x:c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</x:row>
    <x:row r="18">
      <x:c r="A18" s="40" t="str">
        <x:v>Pays de la Loire商品猪</x:v>
      </x:c>
      <x:c r="B18" s="42" t="n">
        <x:v>2328313</x:v>
      </x:c>
      <x:c r="C18" s="40" t="str">
        <x:v>头</x:v>
      </x:c>
      <x:c r="D18" s="40" t="str">
        <x:v>占全国10.8%</x:v>
      </x:c>
      <x:c r="E18" s="40" t="str">
        <x:v>Agreste-SAA/IFIP</x:v>
      </x:c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</x:row>
    <x:row r="19">
      <x:c r="A19" s="40" t="str">
        <x:v>生产者组织（OP）</x:v>
      </x:c>
      <x:c r="B19" s="42" t="n">
        <x:v>31</x:v>
      </x:c>
      <x:c r="C19" s="40" t="str">
        <x:v>家</x:v>
      </x:c>
      <x:c r="D19" s="40" t="str">
        <x:v>其中30家获农业部认可</x:v>
      </x:c>
      <x:c r="E19" s="40" t="str">
        <x:v>Uniporc/IFIP</x:v>
      </x:c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</x:row>
    <x:row r="20">
      <x:c r="A20" s="40" t="str">
        <x:v>OP销售商品猪</x:v>
      </x:c>
      <x:c r="B20" s="42" t="n">
        <x:v>19138000</x:v>
      </x:c>
      <x:c r="C20" s="40" t="str">
        <x:v>头</x:v>
      </x:c>
      <x:c r="D20" s="40" t="str">
        <x:v>占全国88%</x:v>
      </x:c>
      <x:c r="E20" s="40" t="str">
        <x:v>Uniporc/IFIP</x:v>
      </x:c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</x:row>
    <x:row r="21">
      <x:c r="A21" s="40" t="str">
        <x:v>前10大OP销售商品猪</x:v>
      </x:c>
      <x:c r="B21" s="42" t="n">
        <x:v>16100000</x:v>
      </x:c>
      <x:c r="C21" s="40" t="str">
        <x:v>头</x:v>
      </x:c>
      <x:c r="D21" s="40" t="str">
        <x:v>占全国74%</x:v>
      </x:c>
      <x:c r="E21" s="40" t="str">
        <x:v>Uniporc/IFIP</x:v>
      </x:c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</x:row>
    <x:row r="22">
      <x:c r="A22" s="40" t="str">
        <x:v>OP成员</x:v>
      </x:c>
      <x:c r="B22" s="42" t="n">
        <x:v>6310</x:v>
      </x:c>
      <x:c r="C22" s="40" t="str">
        <x:v>户</x:v>
      </x:c>
      <x:c r="D22" s="40" t="str">
        <x:v>较2023年-2.5%</x:v>
      </x:c>
      <x:c r="E22" s="40" t="str">
        <x:v>Uniporc/IFIP</x:v>
      </x:c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</x:row>
    <x:row r="24">
      <x:c r="A24" s="38" t="str">
        <x:v>2025已公开动态（不作为全年最终统计）</x:v>
      </x:c>
      <x:c r="B24" s="38"/>
      <x:c r="C24" s="38"/>
      <x:c r="D24" s="38"/>
      <x:c r="E24" s="38"/>
      <x:c r="F24" s="38"/>
      <x:c r="G24" s="37"/>
      <x:c r="H24" s="37"/>
      <x:c r="I24" s="37"/>
      <x:c r="J24" s="37"/>
      <x:c r="K24" s="37"/>
      <x:c r="L24" s="37"/>
      <x:c r="M24" s="37"/>
      <x:c r="N24" s="37"/>
      <x:c r="O24" s="37"/>
    </x:row>
    <x:row r="25">
      <x:c r="A25" s="40" t="str">
        <x:v>指标</x:v>
      </x:c>
      <x:c r="B25" s="40" t="str">
        <x:v>期间</x:v>
      </x:c>
      <x:c r="C25" s="40" t="str">
        <x:v>变化</x:v>
      </x:c>
      <x:c r="D25" s="40" t="str">
        <x:v>解释</x:v>
      </x:c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</x:row>
    <x:row r="26">
      <x:c r="A26" s="40" t="str">
        <x:v>商品猪产量（头）</x:v>
      </x:c>
      <x:c r="B26" s="40" t="str">
        <x:v>2025年1–9月</x:v>
      </x:c>
      <x:c r="C26" s="44" t="str">
        <x:v>+0.5%</x:v>
      </x:c>
      <x:c r="D26" s="40" t="str">
        <x:v>连续四年下降后轻微回升，仍低于2020–2024均值3.9%</x:v>
      </x:c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</x:row>
    <x:row r="27">
      <x:c r="A27" s="40" t="str">
        <x:v>猪肉产量</x:v>
      </x:c>
      <x:c r="B27" s="40" t="str">
        <x:v>2025年1–9月</x:v>
      </x:c>
      <x:c r="C27" s="44" t="str">
        <x:v>高于2024同期</x:v>
      </x:c>
      <x:c r="D27" s="40" t="str">
        <x:v>平均胴体重增加带动，需与头数分开看</x:v>
      </x:c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</x:row>
    <x:row r="28">
      <x:c r="A28" s="40" t="str">
        <x:v>猪价</x:v>
      </x:c>
      <x:c r="B28" s="40" t="str">
        <x:v>2025年1–9月</x:v>
      </x:c>
      <x:c r="C28" s="44" t="str">
        <x:v>-8.2%</x:v>
      </x:c>
      <x:c r="D28" s="40" t="str">
        <x:v>仍处相对高位</x:v>
      </x:c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</x:row>
  </x:sheetData>
  <x:mergeCells>
    <x:mergeCell ref="A1:O1"/>
    <x:mergeCell ref="A2:O2"/>
    <x:mergeCell ref="A4:F4"/>
    <x:mergeCell ref="A12:F12"/>
    <x:mergeCell ref="A24:F24"/>
  </x:mergeCells>
  <x:pageMargins left="0.7" right="0.7" top="0.75" bottom="0.75" header="0.3" footer="0.3"/>
  <x:drawing xmlns:r="http://schemas.openxmlformats.org/officeDocument/2006/relationships" r:id="R6ef6a29ae5634be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3" t="str">
        <x:v>法国猪场生产成绩｜GTTT与GTE 2024</x:v>
      </x:c>
      <x:c r="B1" s="3"/>
      <x:c r="C1" s="3"/>
      <x:c r="D1" s="3"/>
      <x:c r="E1" s="3"/>
      <x:c r="F1" s="3"/>
      <x:c r="G1" s="3"/>
    </x:row>
    <x:row r="2" ht="34" customHeight="1">
      <x:c r="A2" s="36" t="str">
        <x:v>GTTT为母猪群技术管理样本；GTE为自繁自养（naisseurs-engraisseurs）技术经济管理样本。两者不是全国普查。</x:v>
      </x:c>
      <x:c r="B2" s="36"/>
      <x:c r="C2" s="36"/>
      <x:c r="D2" s="36"/>
      <x:c r="E2" s="36"/>
      <x:c r="F2" s="36"/>
      <x:c r="G2" s="36"/>
    </x:row>
    <x:row r="3">
      <x:c r="A3" s="37"/>
      <x:c r="B3" s="37"/>
      <x:c r="C3" s="37"/>
      <x:c r="D3" s="37"/>
      <x:c r="E3" s="37"/>
      <x:c r="F3" s="37"/>
      <x:c r="G3" s="37"/>
    </x:row>
    <x:row r="4">
      <x:c r="A4" s="38" t="str">
        <x:v>母猪繁殖｜GTTT样本（1,345场）</x:v>
      </x:c>
      <x:c r="B4" s="38"/>
      <x:c r="C4" s="38"/>
      <x:c r="D4" s="38"/>
      <x:c r="E4" s="38"/>
      <x:c r="F4" s="38"/>
      <x:c r="G4" s="38"/>
    </x:row>
    <x:row r="5">
      <x:c r="A5" s="41" t="str">
        <x:v>指标</x:v>
      </x:c>
      <x:c r="B5" s="41" t="str">
        <x:v>单位</x:v>
      </x:c>
      <x:c r="C5" s="41" t="str">
        <x:v>全样本</x:v>
      </x:c>
      <x:c r="D5" s="41" t="str">
        <x:v>上1/3</x:v>
      </x:c>
      <x:c r="E5" s="41" t="str">
        <x:v>下1/3</x:v>
      </x:c>
      <x:c r="F5" s="41" t="str">
        <x:v>上1/3−全样本</x:v>
      </x:c>
      <x:c r="G5" s="37"/>
    </x:row>
    <x:row r="6">
      <x:c r="A6" s="40" t="str">
        <x:v>在栏母猪</x:v>
      </x:c>
      <x:c r="B6" s="40" t="str">
        <x:v>头</x:v>
      </x:c>
      <x:c r="C6" s="43" t="n">
        <x:v>305</x:v>
      </x:c>
      <x:c r="D6" s="43" t="n">
        <x:v>390</x:v>
      </x:c>
      <x:c r="E6" s="43" t="n">
        <x:v>215</x:v>
      </x:c>
      <x:c r="F6" s="43" t="n">
        <x:f>D6-C6</x:f>
        <x:v>85</x:v>
      </x:c>
      <x:c r="G6" s="37"/>
    </x:row>
    <x:row r="7">
      <x:c r="A7" s="40" t="str">
        <x:v>断奶仔猪/生产母猪/年</x:v>
      </x:c>
      <x:c r="B7" s="40" t="str">
        <x:v>头</x:v>
      </x:c>
      <x:c r="C7" s="43" t="n">
        <x:v>33.5</x:v>
      </x:c>
      <x:c r="D7" s="43" t="n">
        <x:v>35.8</x:v>
      </x:c>
      <x:c r="E7" s="43" t="n">
        <x:v>30.1</x:v>
      </x:c>
      <x:c r="F7" s="43" t="n">
        <x:f>D7-C7</x:f>
        <x:v>2.299999999999997</x:v>
      </x:c>
      <x:c r="G7" s="37"/>
    </x:row>
    <x:row r="8">
      <x:c r="A8" s="40" t="str">
        <x:v>活仔/窝</x:v>
      </x:c>
      <x:c r="B8" s="40" t="str">
        <x:v>头</x:v>
      </x:c>
      <x:c r="C8" s="43" t="n">
        <x:v>15.8</x:v>
      </x:c>
      <x:c r="D8" s="43" t="n">
        <x:v>16.2</x:v>
      </x:c>
      <x:c r="E8" s="43" t="n">
        <x:v>15.1</x:v>
      </x:c>
      <x:c r="F8" s="43" t="n">
        <x:f>D8-C8</x:f>
        <x:v>0.3999999999999986</x:v>
      </x:c>
      <x:c r="G8" s="37"/>
    </x:row>
    <x:row r="9">
      <x:c r="A9" s="40" t="str">
        <x:v>死胎/窝</x:v>
      </x:c>
      <x:c r="B9" s="40" t="str">
        <x:v>头</x:v>
      </x:c>
      <x:c r="C9" s="43" t="n">
        <x:v>1.3</x:v>
      </x:c>
      <x:c r="D9" s="43" t="n">
        <x:v>1.3</x:v>
      </x:c>
      <x:c r="E9" s="43" t="n">
        <x:v>1.4</x:v>
      </x:c>
      <x:c r="F9" s="43" t="n">
        <x:f>D9-C9</x:f>
        <x:v>0</x:v>
      </x:c>
      <x:c r="G9" s="37"/>
    </x:row>
    <x:row r="10">
      <x:c r="A10" s="40" t="str">
        <x:v>断奶/窝</x:v>
      </x:c>
      <x:c r="B10" s="40" t="str">
        <x:v>头</x:v>
      </x:c>
      <x:c r="C10" s="43" t="n">
        <x:v>13.4</x:v>
      </x:c>
      <x:c r="D10" s="43" t="n">
        <x:v>14.2</x:v>
      </x:c>
      <x:c r="E10" s="43" t="n">
        <x:v>12.3</x:v>
      </x:c>
      <x:c r="F10" s="43" t="n">
        <x:f>D10-C10</x:f>
        <x:v>0.7999999999999989</x:v>
      </x:c>
      <x:c r="G10" s="37"/>
    </x:row>
    <x:row r="11">
      <x:c r="A11" s="40" t="str">
        <x:v>总产仔损失率</x:v>
      </x:c>
      <x:c r="B11" s="40" t="str">
        <x:v>%</x:v>
      </x:c>
      <x:c r="C11" s="44" t="n">
        <x:v>0.212</x:v>
      </x:c>
      <x:c r="D11" s="44" t="n">
        <x:v>0.187</x:v>
      </x:c>
      <x:c r="E11" s="44" t="n">
        <x:v>0.249</x:v>
      </x:c>
      <x:c r="F11" s="44" t="n">
        <x:f>D11-C11</x:f>
        <x:v>-0.024999999999999994</x:v>
      </x:c>
      <x:c r="G11" s="37"/>
    </x:row>
    <x:row r="12">
      <x:c r="A12" s="40" t="str">
        <x:v>活产损失率</x:v>
      </x:c>
      <x:c r="B12" s="40" t="str">
        <x:v>%</x:v>
      </x:c>
      <x:c r="C12" s="44" t="n">
        <x:v>0.148</x:v>
      </x:c>
      <x:c r="D12" s="44" t="n">
        <x:v>0.125</x:v>
      </x:c>
      <x:c r="E12" s="44" t="n">
        <x:v>0.181</x:v>
      </x:c>
      <x:c r="F12" s="44" t="n">
        <x:f>D12-C12</x:f>
        <x:v>-0.022999999999999993</x:v>
      </x:c>
      <x:c r="G12" s="37"/>
    </x:row>
    <x:row r="13">
      <x:c r="A13" s="40" t="str">
        <x:v>分娩间隔</x:v>
      </x:c>
      <x:c r="B13" s="40" t="str">
        <x:v>天</x:v>
      </x:c>
      <x:c r="C13" s="43" t="n">
        <x:v>146.5</x:v>
      </x:c>
      <x:c r="D13" s="43" t="n">
        <x:v>144.6</x:v>
      </x:c>
      <x:c r="E13" s="43" t="n">
        <x:v>149.8</x:v>
      </x:c>
      <x:c r="F13" s="43" t="n">
        <x:f>D13-C13</x:f>
        <x:v>-1.9000000000000057</x:v>
      </x:c>
      <x:c r="G13" s="37"/>
    </x:row>
    <x:row r="14">
      <x:c r="A14" s="40" t="str">
        <x:v>首配受胎率</x:v>
      </x:c>
      <x:c r="B14" s="40" t="str">
        <x:v>%</x:v>
      </x:c>
      <x:c r="C14" s="44" t="n">
        <x:v>0.918</x:v>
      </x:c>
      <x:c r="D14" s="44" t="n">
        <x:v>0.931</x:v>
      </x:c>
      <x:c r="E14" s="44" t="n">
        <x:v>0.897</x:v>
      </x:c>
      <x:c r="F14" s="44" t="n">
        <x:f>D14-C14</x:f>
        <x:v>0.013000000000000012</x:v>
      </x:c>
      <x:c r="G14" s="37"/>
    </x:row>
    <x:row r="15">
      <x:c r="A15" s="40" t="str">
        <x:v>年更新率</x:v>
      </x:c>
      <x:c r="B15" s="40" t="str">
        <x:v>%</x:v>
      </x:c>
      <x:c r="C15" s="44" t="n">
        <x:v>0.453</x:v>
      </x:c>
      <x:c r="D15" s="44" t="n">
        <x:v>0.464</x:v>
      </x:c>
      <x:c r="E15" s="44" t="n">
        <x:v>0.44</x:v>
      </x:c>
      <x:c r="F15" s="44" t="n">
        <x:f>D15-C15</x:f>
        <x:v>0.01100000000000001</x:v>
      </x:c>
      <x:c r="G15" s="37"/>
    </x:row>
    <x:row r="16">
      <x:c r="A16" s="37"/>
      <x:c r="B16" s="37"/>
      <x:c r="C16" s="37"/>
      <x:c r="D16" s="37"/>
      <x:c r="E16" s="37"/>
      <x:c r="F16" s="37"/>
      <x:c r="G16" s="37"/>
    </x:row>
    <x:row r="17">
      <x:c r="A17" s="38" t="str">
        <x:v>自繁自养技术经济成绩｜GTE样本（1,062场）</x:v>
      </x:c>
      <x:c r="B17" s="38"/>
      <x:c r="C17" s="38"/>
      <x:c r="D17" s="38"/>
      <x:c r="E17" s="38"/>
      <x:c r="F17" s="38"/>
      <x:c r="G17" s="38"/>
    </x:row>
    <x:row r="18">
      <x:c r="A18" s="41" t="str">
        <x:v>指标</x:v>
      </x:c>
      <x:c r="B18" s="41" t="str">
        <x:v>单位</x:v>
      </x:c>
      <x:c r="C18" s="41" t="str">
        <x:v>全样本</x:v>
      </x:c>
      <x:c r="D18" s="41" t="str">
        <x:v>上1/3</x:v>
      </x:c>
      <x:c r="E18" s="41" t="str">
        <x:v>下1/3</x:v>
      </x:c>
      <x:c r="F18" s="41" t="str">
        <x:v>上1/3−全样本</x:v>
      </x:c>
      <x:c r="G18" s="37"/>
    </x:row>
    <x:row r="19">
      <x:c r="A19" s="40" t="str">
        <x:v>在栏母猪</x:v>
      </x:c>
      <x:c r="B19" s="40" t="str">
        <x:v>头</x:v>
      </x:c>
      <x:c r="C19" s="46" t="n">
        <x:v>279</x:v>
      </x:c>
      <x:c r="D19" s="46" t="n">
        <x:v>341</x:v>
      </x:c>
      <x:c r="E19" s="46" t="n">
        <x:v>230</x:v>
      </x:c>
      <x:c r="F19" s="46" t="n">
        <x:f>D19-C19</x:f>
        <x:v>62</x:v>
      </x:c>
      <x:c r="G19" s="37"/>
    </x:row>
    <x:row r="20">
      <x:c r="A20" s="40" t="str">
        <x:v>商品猪/在栏母猪/年</x:v>
      </x:c>
      <x:c r="B20" s="40" t="str">
        <x:v>头</x:v>
      </x:c>
      <x:c r="C20" s="46" t="n">
        <x:v>25.9</x:v>
      </x:c>
      <x:c r="D20" s="46" t="n">
        <x:v>28.2</x:v>
      </x:c>
      <x:c r="E20" s="46" t="n">
        <x:v>23.5</x:v>
      </x:c>
      <x:c r="F20" s="46" t="n">
        <x:f>D20-C20</x:f>
        <x:v>2.3000000000000007</x:v>
      </x:c>
      <x:c r="G20" s="37"/>
    </x:row>
    <x:row r="21">
      <x:c r="A21" s="40" t="str">
        <x:v>活重/在栏母猪/年</x:v>
      </x:c>
      <x:c r="B21" s="40" t="str">
        <x:v>kg</x:v>
      </x:c>
      <x:c r="C21" s="46" t="n">
        <x:v>3089</x:v>
      </x:c>
      <x:c r="D21" s="46" t="n">
        <x:v>3409</x:v>
      </x:c>
      <x:c r="E21" s="46" t="n">
        <x:v>2766</x:v>
      </x:c>
      <x:c r="F21" s="46" t="n">
        <x:f>D21-C21</x:f>
        <x:v>320</x:v>
      </x:c>
      <x:c r="G21" s="37"/>
    </x:row>
    <x:row r="22">
      <x:c r="A22" s="40" t="str">
        <x:v>断奶至上市损失/淘汰</x:v>
      </x:c>
      <x:c r="B22" s="40" t="str">
        <x:v>%</x:v>
      </x:c>
      <x:c r="C22" s="44" t="n">
        <x:v>0.062</x:v>
      </x:c>
      <x:c r="D22" s="44" t="n">
        <x:v>0.052</x:v>
      </x:c>
      <x:c r="E22" s="44" t="n">
        <x:v>0.077</x:v>
      </x:c>
      <x:c r="F22" s="44" t="n">
        <x:f>D22-C22</x:f>
        <x:v>-0.010000000000000002</x:v>
      </x:c>
      <x:c r="G22" s="37"/>
    </x:row>
    <x:row r="23">
      <x:c r="A23" s="40" t="str">
        <x:v>入栏重（8kg段）</x:v>
      </x:c>
      <x:c r="B23" s="40" t="str">
        <x:v>kg</x:v>
      </x:c>
      <x:c r="C23" s="43" t="n">
        <x:v>6.7</x:v>
      </x:c>
      <x:c r="D23" s="43" t="n">
        <x:v>6.5</x:v>
      </x:c>
      <x:c r="E23" s="43" t="n">
        <x:v>6.9</x:v>
      </x:c>
      <x:c r="F23" s="43" t="n">
        <x:f>D23-C23</x:f>
        <x:v>-0.20000000000000018</x:v>
      </x:c>
      <x:c r="G23" s="37"/>
    </x:row>
    <x:row r="24">
      <x:c r="A24" s="40" t="str">
        <x:v>保育料肉比 8–30kg</x:v>
      </x:c>
      <x:c r="B24" s="40" t="str"/>
      <x:c r="C24" s="43" t="n">
        <x:v>1.71</x:v>
      </x:c>
      <x:c r="D24" s="43" t="n">
        <x:v>1.7</x:v>
      </x:c>
      <x:c r="E24" s="43" t="n">
        <x:v>1.73</x:v>
      </x:c>
      <x:c r="F24" s="43" t="n">
        <x:f>D24-C24</x:f>
        <x:v>-0.010000000000000009</x:v>
      </x:c>
      <x:c r="G24" s="37"/>
    </x:row>
    <x:row r="25">
      <x:c r="A25" s="40" t="str">
        <x:v>保育日增重 8–30kg</x:v>
      </x:c>
      <x:c r="B25" s="40" t="str">
        <x:v>g/天</x:v>
      </x:c>
      <x:c r="C25" s="43" t="n">
        <x:v>474</x:v>
      </x:c>
      <x:c r="D25" s="43" t="n">
        <x:v>477</x:v>
      </x:c>
      <x:c r="E25" s="43" t="n">
        <x:v>468</x:v>
      </x:c>
      <x:c r="F25" s="43" t="n">
        <x:f>D25-C25</x:f>
        <x:v>3</x:v>
      </x:c>
      <x:c r="G25" s="37"/>
    </x:row>
    <x:row r="26">
      <x:c r="A26" s="40" t="str">
        <x:v>育肥入栏重</x:v>
      </x:c>
      <x:c r="B26" s="40" t="str">
        <x:v>kg</x:v>
      </x:c>
      <x:c r="C26" s="43" t="n">
        <x:v>30.4</x:v>
      </x:c>
      <x:c r="D26" s="43" t="n">
        <x:v>29.8</x:v>
      </x:c>
      <x:c r="E26" s="43" t="n">
        <x:v>30.7</x:v>
      </x:c>
      <x:c r="F26" s="43" t="n">
        <x:f>D26-C26</x:f>
        <x:v>-0.5999999999999979</x:v>
      </x:c>
      <x:c r="G26" s="37"/>
    </x:row>
    <x:row r="27">
      <x:c r="A27" s="40" t="str">
        <x:v>育肥出栏重</x:v>
      </x:c>
      <x:c r="B27" s="40" t="str">
        <x:v>kg</x:v>
      </x:c>
      <x:c r="C27" s="43" t="n">
        <x:v>122.4</x:v>
      </x:c>
      <x:c r="D27" s="43" t="n">
        <x:v>123.1</x:v>
      </x:c>
      <x:c r="E27" s="43" t="n">
        <x:v>121.6</x:v>
      </x:c>
      <x:c r="F27" s="43" t="n">
        <x:f>D27-C27</x:f>
        <x:v>0.6999999999999886</x:v>
      </x:c>
      <x:c r="G27" s="37"/>
    </x:row>
    <x:row r="28">
      <x:c r="A28" s="40" t="str">
        <x:v>育肥损失/淘汰</x:v>
      </x:c>
      <x:c r="B28" s="40" t="str">
        <x:v>%</x:v>
      </x:c>
      <x:c r="C28" s="43" t="n">
        <x:v>0.034</x:v>
      </x:c>
      <x:c r="D28" s="43" t="n">
        <x:v>0.029</x:v>
      </x:c>
      <x:c r="E28" s="43" t="n">
        <x:v>0.043</x:v>
      </x:c>
      <x:c r="F28" s="43" t="n">
        <x:f>D28-C28</x:f>
        <x:v>-0.005000000000000001</x:v>
      </x:c>
      <x:c r="G28" s="37"/>
    </x:row>
    <x:row r="29">
      <x:c r="A29" s="40" t="str">
        <x:v>育肥料肉比 30–115kg</x:v>
      </x:c>
      <x:c r="B29" s="40" t="str"/>
      <x:c r="C29" s="43" t="n">
        <x:v>2.61</x:v>
      </x:c>
      <x:c r="D29" s="43" t="n">
        <x:v>2.55</x:v>
      </x:c>
      <x:c r="E29" s="43" t="n">
        <x:v>2.69</x:v>
      </x:c>
      <x:c r="F29" s="43" t="n">
        <x:f>D29-C29</x:f>
        <x:v>-0.06000000000000005</x:v>
      </x:c>
      <x:c r="G29" s="37"/>
    </x:row>
    <x:row r="30">
      <x:c r="A30" s="40" t="str">
        <x:v>育肥日增重 30–115kg</x:v>
      </x:c>
      <x:c r="B30" s="40" t="str">
        <x:v>g/天</x:v>
      </x:c>
      <x:c r="C30" s="42" t="n">
        <x:v>858</x:v>
      </x:c>
      <x:c r="D30" s="42" t="n">
        <x:v>870</x:v>
      </x:c>
      <x:c r="E30" s="42" t="n">
        <x:v>842</x:v>
      </x:c>
      <x:c r="F30" s="42" t="n">
        <x:f>D30-C30</x:f>
        <x:v>12</x:v>
      </x:c>
      <x:c r="G30" s="37"/>
    </x:row>
    <x:row r="31">
      <x:c r="A31" s="40" t="str">
        <x:v>TMP瘦肉率</x:v>
      </x:c>
      <x:c r="B31" s="40" t="str">
        <x:v>%</x:v>
      </x:c>
      <x:c r="C31" s="44" t="n">
        <x:v>0.612</x:v>
      </x:c>
      <x:c r="D31" s="44" t="n">
        <x:v>0.613</x:v>
      </x:c>
      <x:c r="E31" s="44" t="n">
        <x:v>0.611</x:v>
      </x:c>
      <x:c r="F31" s="44" t="n">
        <x:f>D31-C31</x:f>
        <x:v>0.0010000000000000009</x:v>
      </x:c>
      <x:c r="G31" s="37"/>
    </x:row>
  </x:sheetData>
  <x:mergeCells>
    <x:mergeCell ref="A1:G1"/>
    <x:mergeCell ref="A2:G2"/>
    <x:mergeCell ref="A4:G4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3" t="str">
        <x:v>法国猪价、饲料与成本口径</x:v>
      </x:c>
      <x:c r="B1" s="3"/>
      <x:c r="C1" s="3"/>
      <x:c r="D1" s="3"/>
      <x:c r="E1" s="3"/>
      <x:c r="F1" s="3"/>
      <x:c r="G1" s="3"/>
    </x:row>
    <x:row r="2" ht="34" customHeight="1">
      <x:c r="A2" s="36" t="str">
        <x:v>公开可核验的市场价格和饲料成本代理指标。没有把它们伪造成全国平均完全成本。</x:v>
      </x:c>
      <x:c r="B2" s="36"/>
      <x:c r="C2" s="36"/>
      <x:c r="D2" s="36"/>
      <x:c r="E2" s="36"/>
      <x:c r="F2" s="36"/>
      <x:c r="G2" s="36"/>
    </x:row>
    <x:row r="3">
      <x:c r="A3" s="37"/>
      <x:c r="B3" s="37"/>
      <x:c r="C3" s="37"/>
      <x:c r="D3" s="37"/>
      <x:c r="E3" s="37"/>
      <x:c r="F3" s="37"/>
      <x:c r="G3" s="37"/>
    </x:row>
    <x:row r="4">
      <x:c r="A4" s="38" t="str">
        <x:v>2024价格与饲料成本代理</x:v>
      </x:c>
      <x:c r="B4" s="38"/>
      <x:c r="C4" s="38"/>
      <x:c r="D4" s="38"/>
      <x:c r="E4" s="38"/>
      <x:c r="F4" s="38"/>
      <x:c r="G4" s="38"/>
    </x:row>
    <x:row r="5">
      <x:c r="A5" s="41" t="str">
        <x:v>指标</x:v>
      </x:c>
      <x:c r="B5" s="41" t="str">
        <x:v>单位</x:v>
      </x:c>
      <x:c r="C5" s="41" t="str">
        <x:v>2023</x:v>
      </x:c>
      <x:c r="D5" s="41" t="str">
        <x:v>2024</x:v>
      </x:c>
      <x:c r="E5" s="41" t="str">
        <x:v>同比</x:v>
      </x:c>
      <x:c r="F5" s="41" t="str">
        <x:v>说明</x:v>
      </x:c>
      <x:c r="G5" s="37"/>
    </x:row>
    <x:row r="6">
      <x:c r="A6" s="40" t="str">
        <x:v>法国S-E级猪价</x:v>
      </x:c>
      <x:c r="B6" s="40" t="str">
        <x:v>€/kg</x:v>
      </x:c>
      <x:c r="C6" s="47" t="n">
        <x:v>2.263</x:v>
      </x:c>
      <x:c r="D6" s="47" t="n">
        <x:v>2.1</x:v>
      </x:c>
      <x:c r="E6" s="44" t="n">
        <x:f>D6/C6-1</x:f>
        <x:v>-0.0720282810428634</x:v>
      </x:c>
      <x:c r="F6" s="40" t="str">
        <x:v>法国分类价</x:v>
      </x:c>
      <x:c r="G6" s="37"/>
    </x:row>
    <x:row r="7">
      <x:c r="A7" s="40" t="str">
        <x:v>Bretagne Cadran猪价</x:v>
      </x:c>
      <x:c r="B7" s="40" t="str">
        <x:v>€/kg</x:v>
      </x:c>
      <x:c r="C7" s="47" t="n">
        <x:v>2.103</x:v>
      </x:c>
      <x:c r="D7" s="47" t="n">
        <x:v>1.9</x:v>
      </x:c>
      <x:c r="E7" s="44" t="n">
        <x:f>D7/C7-1</x:f>
        <x:v>-0.09652876842605818</x:v>
      </x:c>
      <x:c r="F7" s="40" t="str">
        <x:v>56 TMP口径历史基准</x:v>
      </x:c>
      <x:c r="G7" s="37"/>
    </x:row>
    <x:row r="8">
      <x:c r="A8" s="40" t="str">
        <x:v>25kg仔猪指数价</x:v>
      </x:c>
      <x:c r="B8" s="40" t="str">
        <x:v>€/kg</x:v>
      </x:c>
      <x:c r="C8" s="47" t="n">
        <x:v>3.192</x:v>
      </x:c>
      <x:c r="D8" s="47" t="n">
        <x:v>2.911</x:v>
      </x:c>
      <x:c r="E8" s="44" t="n">
        <x:f>D8/C8-1</x:f>
        <x:v>-0.08803258145363413</x:v>
      </x:c>
      <x:c r="F8" s="40" t="str">
        <x:v>指数价</x:v>
      </x:c>
      <x:c r="G8" s="37"/>
    </x:row>
    <x:row r="9">
      <x:c r="A9" s="40" t="str">
        <x:v>IFIP商品猪饲料</x:v>
      </x:c>
      <x:c r="B9" s="40" t="str">
        <x:v>€/t</x:v>
      </x:c>
      <x:c r="C9" s="47" t="n">
        <x:v>365</x:v>
      </x:c>
      <x:c r="D9" s="47" t="n">
        <x:v>323</x:v>
      </x:c>
      <x:c r="E9" s="44" t="n">
        <x:f>D9/C9-1</x:f>
        <x:v>-0.1150684931506849</x:v>
      </x:c>
      <x:c r="F9" s="40" t="str">
        <x:v>平均年度指数</x:v>
      </x:c>
      <x:c r="G9" s="37"/>
    </x:row>
    <x:row r="10">
      <x:c r="A10" s="40" t="str">
        <x:v>Rungis里脊/longé</x:v>
      </x:c>
      <x:c r="B10" s="40" t="str">
        <x:v>€/kg</x:v>
      </x:c>
      <x:c r="C10" s="47" t="n">
        <x:v>3.49</x:v>
      </x:c>
      <x:c r="D10" s="47" t="n">
        <x:v>3.45</x:v>
      </x:c>
      <x:c r="E10" s="44" t="n">
        <x:f>D10/C10-1</x:f>
        <x:v>-0.011461318051575908</x:v>
      </x:c>
      <x:c r="F10" s="40" t="str">
        <x:v>分割肉批发参考</x:v>
      </x:c>
      <x:c r="G10" s="37"/>
    </x:row>
    <x:row r="11">
      <x:c r="A11" s="40" t="str">
        <x:v>Rungis去水火腿</x:v>
      </x:c>
      <x:c r="B11" s="40" t="str">
        <x:v>€/kg</x:v>
      </x:c>
      <x:c r="C11" s="47" t="n">
        <x:v>3.61</x:v>
      </x:c>
      <x:c r="D11" s="47" t="n">
        <x:v>3.39</x:v>
      </x:c>
      <x:c r="E11" s="44" t="n">
        <x:f>D11/C11-1</x:f>
        <x:v>-0.06094182825484762</x:v>
      </x:c>
      <x:c r="F11" s="40" t="str">
        <x:v>分割肉批发参考</x:v>
      </x:c>
      <x:c r="G11" s="37"/>
    </x:row>
    <x:row r="12">
      <x:c r="A12" s="40" t="str">
        <x:v>零售鲜猪肉指数</x:v>
      </x:c>
      <x:c r="B12" s="40" t="str">
        <x:v>2021=100</x:v>
      </x:c>
      <x:c r="C12" s="47" t="n">
        <x:v>127</x:v>
      </x:c>
      <x:c r="D12" s="47" t="n">
        <x:v>128.8</x:v>
      </x:c>
      <x:c r="E12" s="44" t="n">
        <x:f>D12/C12-1</x:f>
        <x:v>0.014173228346456845</x:v>
      </x:c>
      <x:c r="F12" s="40" t="str">
        <x:v>消费者价格指数</x:v>
      </x:c>
      <x:c r="G12" s="37"/>
    </x:row>
    <x:row r="13">
      <x:c r="A13" s="40" t="str">
        <x:v>加工品价格指数</x:v>
      </x:c>
      <x:c r="B13" s="40" t="str">
        <x:v>2021=100</x:v>
      </x:c>
      <x:c r="C13" s="47" t="n">
        <x:v>125.9</x:v>
      </x:c>
      <x:c r="D13" s="47" t="n">
        <x:v>121.3</x:v>
      </x:c>
      <x:c r="E13" s="44" t="n">
        <x:f>D13/C13-1</x:f>
        <x:v>-0.03653693407466252</x:v>
      </x:c>
      <x:c r="F13" s="40" t="str">
        <x:v>肉制品</x:v>
      </x:c>
      <x:c r="G13" s="37"/>
    </x:row>
    <x:row r="14">
      <x:c r="A14" s="37"/>
      <x:c r="B14" s="37"/>
      <x:c r="C14" s="37"/>
      <x:c r="D14" s="37"/>
      <x:c r="E14" s="37"/>
      <x:c r="F14" s="37"/>
      <x:c r="G14" s="37"/>
    </x:row>
    <x:row r="15">
      <x:c r="A15" s="38" t="str">
        <x:v>成本解释与决策边界</x:v>
      </x:c>
      <x:c r="B15" s="38"/>
      <x:c r="C15" s="38"/>
      <x:c r="D15" s="38"/>
      <x:c r="E15" s="38"/>
      <x:c r="F15" s="38"/>
      <x:c r="G15" s="38"/>
    </x:row>
    <x:row r="16">
      <x:c r="A16" s="41" t="str">
        <x:v>问题</x:v>
      </x:c>
      <x:c r="B16" s="41" t="str">
        <x:v>可靠结论</x:v>
      </x:c>
      <x:c r="C16" s="41" t="str">
        <x:v>不可直接推导</x:v>
      </x:c>
      <x:c r="D16" s="41" t="str">
        <x:v>建议</x:v>
      </x:c>
      <x:c r="E16" s="37"/>
      <x:c r="F16" s="37"/>
      <x:c r="G16" s="37"/>
    </x:row>
    <x:row r="17">
      <x:c r="A17" s="40" t="str">
        <x:v>饲料成本</x:v>
      </x:c>
      <x:c r="B17" s="40" t="str">
        <x:v>2024饲料指标同比-11.4%</x:v>
      </x:c>
      <x:c r="C17" s="40" t="str">
        <x:v>不能直接得出€/kg增重或全成本</x:v>
      </x:c>
      <x:c r="D17" s="40" t="str">
        <x:v>输入本场料价×本场料肉比计算</x:v>
      </x:c>
      <x:c r="E17" s="37"/>
      <x:c r="F17" s="37"/>
      <x:c r="G17" s="37"/>
    </x:row>
    <x:row r="18">
      <x:c r="A18" s="40" t="str">
        <x:v>销售价格</x:v>
      </x:c>
      <x:c r="B18" s="40" t="str">
        <x:v>Cadran猪价同比-9.7%</x:v>
      </x:c>
      <x:c r="C18" s="40" t="str">
        <x:v>不能等同所有猪场净回款</x:v>
      </x:c>
      <x:c r="D18" s="40" t="str">
        <x:v>加入合同、质量扣补和运输</x:v>
      </x:c>
      <x:c r="E18" s="37"/>
      <x:c r="F18" s="37"/>
      <x:c r="G18" s="37"/>
    </x:row>
    <x:row r="19">
      <x:c r="A19" s="40" t="str">
        <x:v>毛利</x:v>
      </x:c>
      <x:c r="B19" s="40" t="str">
        <x:v>价格与饲料双降</x:v>
      </x:c>
      <x:c r="C19" s="40" t="str">
        <x:v>公开资料不足以给出法国全国“完全成本/头”</x:v>
      </x:c>
      <x:c r="D19" s="40" t="str">
        <x:v>按本场固定成本、死亡率、出栏重重算</x:v>
      </x:c>
      <x:c r="E19" s="37"/>
      <x:c r="F19" s="37"/>
      <x:c r="G19" s="37"/>
    </x:row>
    <x:row r="20">
      <x:c r="A20" s="40" t="str">
        <x:v>投资</x:v>
      </x:c>
      <x:c r="B20" s="40" t="str">
        <x:v>IFIP发布建造成本区间</x:v>
      </x:c>
      <x:c r="C20" s="40" t="str">
        <x:v>区间不等同于当前单场CAPEX</x:v>
      </x:c>
      <x:c r="D20" s="40" t="str">
        <x:v>按厂房、环保和区域报价询价</x:v>
      </x:c>
      <x:c r="E20" s="37"/>
      <x:c r="F20" s="37"/>
      <x:c r="G20" s="37"/>
    </x:row>
    <x:row r="21">
      <x:c r="A21" s="40" t="str">
        <x:v>汇率</x:v>
      </x:c>
      <x:c r="B21" s="40" t="str">
        <x:v>全部以欧元展示</x:v>
      </x:c>
      <x:c r="C21" s="40" t="str">
        <x:v>未转人民币/越南盾</x:v>
      </x:c>
      <x:c r="D21" s="40" t="str">
        <x:v>需按决策日汇率另算</x:v>
      </x:c>
      <x:c r="E21" s="37"/>
      <x:c r="F21" s="37"/>
      <x:c r="G21" s="37"/>
    </x:row>
    <x:row r="22">
      <x:c r="A22" s="37"/>
      <x:c r="B22" s="37"/>
      <x:c r="C22" s="37"/>
      <x:c r="D22" s="37"/>
      <x:c r="E22" s="37"/>
      <x:c r="F22" s="37"/>
      <x:c r="G22" s="37"/>
    </x:row>
    <x:row r="23">
      <x:c r="A23" s="45" t="str">
        <x:v>2025动态：Agreste指出2025年前9个月猪价同比-8.2%，饲料成本同比-0.8%。这说明2024的成本缓和仍在延续，但利润不能只看单一指标，必须同时观察母猪生产率、育肥料肉比、死亡/淘汰与最终结算价。</x:v>
      </x:c>
      <x:c r="B23" s="45"/>
      <x:c r="C23" s="45"/>
      <x:c r="D23" s="45"/>
      <x:c r="E23" s="45"/>
      <x:c r="F23" s="45"/>
      <x:c r="G23" s="45"/>
    </x:row>
    <x:row r="24">
      <x:c r="A24" s="45"/>
      <x:c r="B24" s="45"/>
      <x:c r="C24" s="45"/>
      <x:c r="D24" s="45"/>
      <x:c r="E24" s="45"/>
      <x:c r="F24" s="45"/>
      <x:c r="G24" s="45"/>
    </x:row>
    <x:row r="25">
      <x:c r="A25" s="45"/>
      <x:c r="B25" s="45"/>
      <x:c r="C25" s="45"/>
      <x:c r="D25" s="45"/>
      <x:c r="E25" s="45"/>
      <x:c r="F25" s="45"/>
      <x:c r="G25" s="45"/>
    </x:row>
  </x:sheetData>
  <x:mergeCells>
    <x:mergeCell ref="A1:G1"/>
    <x:mergeCell ref="A2:G2"/>
    <x:mergeCell ref="A4:G4"/>
    <x:mergeCell ref="A15:G15"/>
    <x:mergeCell ref="A23:G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6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法国肉质、胴体与质量标签</x:v>
      </x:c>
      <x:c r="B1" s="3"/>
      <x:c r="C1" s="3"/>
      <x:c r="D1" s="3"/>
      <x:c r="E1" s="3"/>
      <x:c r="F1" s="3"/>
      <x:c r="G1" s="3"/>
    </x:row>
    <x:row r="2" ht="34" customHeight="1">
      <x:c r="A2" s="36" t="str">
        <x:v>将可量化的胴体商业KPI、官方质量标签统计和研究证据分开列示。</x:v>
      </x:c>
      <x:c r="B2" s="36"/>
      <x:c r="C2" s="36"/>
      <x:c r="D2" s="36"/>
      <x:c r="E2" s="36"/>
      <x:c r="F2" s="36"/>
      <x:c r="G2" s="36"/>
    </x:row>
    <x:row r="3">
      <x:c r="A3" s="37"/>
      <x:c r="B3" s="37"/>
      <x:c r="C3" s="37"/>
      <x:c r="D3" s="37"/>
      <x:c r="E3" s="37"/>
      <x:c r="F3" s="37"/>
      <x:c r="G3" s="37"/>
    </x:row>
    <x:row r="4">
      <x:c r="A4" s="38" t="str">
        <x:v>商业场可比胴体指标｜GTE 2024</x:v>
      </x:c>
      <x:c r="B4" s="38"/>
      <x:c r="C4" s="38"/>
      <x:c r="D4" s="38"/>
      <x:c r="E4" s="38"/>
      <x:c r="F4" s="38"/>
      <x:c r="G4" s="38"/>
    </x:row>
    <x:row r="5">
      <x:c r="A5" s="41" t="str">
        <x:v>指标</x:v>
      </x:c>
      <x:c r="B5" s="41" t="str">
        <x:v>单位</x:v>
      </x:c>
      <x:c r="C5" s="41" t="str">
        <x:v>全样本</x:v>
      </x:c>
      <x:c r="D5" s="41" t="str">
        <x:v>上1/3</x:v>
      </x:c>
      <x:c r="E5" s="41" t="str">
        <x:v>下1/3</x:v>
      </x:c>
      <x:c r="F5" s="41" t="str">
        <x:v>解释</x:v>
      </x:c>
      <x:c r="G5" s="37"/>
    </x:row>
    <x:row r="6">
      <x:c r="A6" s="40" t="str">
        <x:v>TMP瘦肉率</x:v>
      </x:c>
      <x:c r="B6" s="40" t="str">
        <x:v>%</x:v>
      </x:c>
      <x:c r="C6" s="44" t="n">
        <x:v>0.612</x:v>
      </x:c>
      <x:c r="D6" s="44" t="n">
        <x:v>0.613</x:v>
      </x:c>
      <x:c r="E6" s="44" t="n">
        <x:v>0.611</x:v>
      </x:c>
      <x:c r="F6" s="40" t="str">
        <x:v>屠宰瘦肉率，GTE样本</x:v>
      </x:c>
      <x:c r="G6" s="37"/>
    </x:row>
    <x:row r="7">
      <x:c r="A7" s="40" t="str">
        <x:v>商品猪出栏重</x:v>
      </x:c>
      <x:c r="B7" s="40" t="str">
        <x:v>kg</x:v>
      </x:c>
      <x:c r="C7" s="43" t="n">
        <x:v>122.4</x:v>
      </x:c>
      <x:c r="D7" s="43" t="n">
        <x:v>123.1</x:v>
      </x:c>
      <x:c r="E7" s="43" t="n">
        <x:v>121.6</x:v>
      </x:c>
      <x:c r="F7" s="40" t="str">
        <x:v>活重</x:v>
      </x:c>
      <x:c r="G7" s="37"/>
    </x:row>
    <x:row r="8">
      <x:c r="A8" s="40" t="str">
        <x:v>育肥料肉比 30–115kg</x:v>
      </x:c>
      <x:c r="B8" s="40" t="str"/>
      <x:c r="C8" s="43" t="n">
        <x:v>2.61</x:v>
      </x:c>
      <x:c r="D8" s="43" t="n">
        <x:v>2.55</x:v>
      </x:c>
      <x:c r="E8" s="43" t="n">
        <x:v>2.69</x:v>
      </x:c>
      <x:c r="F8" s="40" t="str">
        <x:v>技术料肉比</x:v>
      </x:c>
      <x:c r="G8" s="37"/>
    </x:row>
    <x:row r="9">
      <x:c r="A9" s="40" t="str">
        <x:v>育肥日增重 30–115kg</x:v>
      </x:c>
      <x:c r="B9" s="40" t="str">
        <x:v>g/天</x:v>
      </x:c>
      <x:c r="C9" s="43" t="n">
        <x:v>858</x:v>
      </x:c>
      <x:c r="D9" s="43" t="n">
        <x:v>870</x:v>
      </x:c>
      <x:c r="E9" s="43" t="n">
        <x:v>842</x:v>
      </x:c>
      <x:c r="F9" s="40" t="str">
        <x:v>技术日增重</x:v>
      </x:c>
      <x:c r="G9" s="37"/>
    </x:row>
    <x:row r="10">
      <x:c r="A10" s="40" t="str">
        <x:v>商品猪在目标等级区间占比</x:v>
      </x:c>
      <x:c r="B10" s="40" t="str">
        <x:v>%</x:v>
      </x:c>
      <x:c r="C10" s="44" t="n">
        <x:v>0.831</x:v>
      </x:c>
      <x:c r="D10" s="44" t="n">
        <x:v>0.841</x:v>
      </x:c>
      <x:c r="E10" s="44" t="n">
        <x:v>0.812</x:v>
      </x:c>
      <x:c r="F10" s="40" t="str">
        <x:v>并非所有猪场均有该数据</x:v>
      </x:c>
      <x:c r="G10" s="37"/>
    </x:row>
    <x:row r="11">
      <x:c r="A11" s="37"/>
      <x:c r="B11" s="37"/>
      <x:c r="C11" s="37"/>
      <x:c r="D11" s="37"/>
      <x:c r="E11" s="37"/>
      <x:c r="F11" s="37"/>
      <x:c r="G11" s="37"/>
    </x:row>
    <x:row r="12">
      <x:c r="A12" s="38" t="str">
        <x:v>差异化质量与研究证据</x:v>
      </x:c>
      <x:c r="B12" s="38"/>
      <x:c r="C12" s="38"/>
      <x:c r="D12" s="38"/>
      <x:c r="E12" s="38"/>
      <x:c r="F12" s="38"/>
      <x:c r="G12" s="38"/>
    </x:row>
    <x:row r="13">
      <x:c r="A13" s="41" t="str">
        <x:v>类型</x:v>
      </x:c>
      <x:c r="B13" s="41" t="str">
        <x:v>指标</x:v>
      </x:c>
      <x:c r="C13" s="41" t="str">
        <x:v>数值/结论</x:v>
      </x:c>
      <x:c r="D13" s="41" t="str">
        <x:v>年份</x:v>
      </x:c>
      <x:c r="E13" s="41" t="str">
        <x:v>证据等级</x:v>
      </x:c>
      <x:c r="F13" s="41" t="str">
        <x:v>限制</x:v>
      </x:c>
      <x:c r="G13" s="41" t="str">
        <x:v>来源</x:v>
      </x:c>
    </x:row>
    <x:row r="14">
      <x:c r="A14" s="40" t="str">
        <x:v>Label Rouge</x:v>
      </x:c>
      <x:c r="B14" s="40" t="str">
        <x:v>商品猪</x:v>
      </x:c>
      <x:c r="C14" s="42" t="n">
        <x:v>760047</x:v>
      </x:c>
      <x:c r="D14" s="40" t="str">
        <x:v>2024</x:v>
      </x:c>
      <x:c r="E14" s="40" t="str">
        <x:v>高</x:v>
      </x:c>
      <x:c r="F14" s="40" t="str">
        <x:v>占全国商品猪约3.5%，不是全国平均肉质</x:v>
      </x:c>
      <x:c r="G14" s="40" t="str">
        <x:v>IFIP/Sylaporc</x:v>
      </x:c>
    </x:row>
    <x:row r="15">
      <x:c r="A15" s="40" t="str">
        <x:v>Label Rouge</x:v>
      </x:c>
      <x:c r="B15" s="40" t="str">
        <x:v>商品猪吨数</x:v>
      </x:c>
      <x:c r="C15" s="42" t="n">
        <x:v>36117</x:v>
      </x:c>
      <x:c r="D15" s="40" t="str">
        <x:v>2024</x:v>
      </x:c>
      <x:c r="E15" s="40" t="str">
        <x:v>高</x:v>
      </x:c>
      <x:c r="F15" s="40" t="str">
        <x:v>质量标签的产量统计</x:v>
      </x:c>
      <x:c r="G15" s="40" t="str">
        <x:v>IFIP/Sylaporc</x:v>
      </x:c>
    </x:row>
    <x:row r="16">
      <x:c r="A16" s="40" t="str">
        <x:v>有机</x:v>
      </x:c>
      <x:c r="B16" s="40" t="str">
        <x:v>母猪</x:v>
      </x:c>
      <x:c r="C16" s="42" t="n">
        <x:v>15849</x:v>
      </x:c>
      <x:c r="D16" s="40" t="str">
        <x:v>2024</x:v>
      </x:c>
      <x:c r="E16" s="40" t="str">
        <x:v>高</x:v>
      </x:c>
      <x:c r="F16" s="40" t="str">
        <x:v>同比-6.0%；不同于商品猪出栏量</x:v>
      </x:c>
      <x:c r="G16" s="40" t="str">
        <x:v>IFIP/Agence Bio</x:v>
      </x:c>
    </x:row>
    <x:row r="17">
      <x:c r="A17" s="40" t="str">
        <x:v>非阉割或免疫阉割</x:v>
      </x:c>
      <x:c r="B17" s="40" t="str">
        <x:v>在UNIPORC区域占比</x:v>
      </x:c>
      <x:c r="C17" s="44" t="n">
        <x:v>0.51</x:v>
      </x:c>
      <x:c r="D17" s="40" t="str">
        <x:v>2024</x:v>
      </x:c>
      <x:c r="E17" s="40" t="str">
        <x:v>中</x:v>
      </x:c>
      <x:c r="F17" s="40" t="str">
        <x:v>区域口径，不等于全国；质量管理需防公猪异味</x:v>
      </x:c>
      <x:c r="G17" s="40" t="str">
        <x:v>IFIP</x:v>
      </x:c>
    </x:row>
    <x:row r="18">
      <x:c r="A18" s="40" t="str">
        <x:v>Duroc×Pietrain有机公猪研究</x:v>
      </x:c>
      <x:c r="B18" s="40" t="str">
        <x:v>肉质/胴体</x:v>
      </x:c>
      <x:c r="C18" s="40" t="str">
        <x:v>Duroc组肌内脂肪更高、肉更不渗水；但背膘雄烯酮更高</x:v>
      </x:c>
      <x:c r="D18" s="40" t="str">
        <x:v>2024</x:v>
      </x:c>
      <x:c r="E18" s="40" t="str">
        <x:v>中</x:v>
      </x:c>
      <x:c r="F18" s="40" t="str">
        <x:v>单项研究、特定有机和未阉割条件，非全国平均</x:v>
      </x:c>
      <x:c r="G18" s="40" t="str">
        <x:v>IFIP/Animal</x:v>
      </x:c>
    </x:row>
    <x:row r="19">
      <x:c r="A19" s="40" t="str">
        <x:v>屠宰质量技术</x:v>
      </x:c>
      <x:c r="B19" s="40" t="str">
        <x:v>保水能力预测</x:v>
      </x:c>
      <x:c r="C19" s="40" t="str">
        <x:v>4家屠宰场、5,562具胴体参与技术验证</x:v>
      </x:c>
      <x:c r="D19" s="40" t="str">
        <x:v>2024</x:v>
      </x:c>
      <x:c r="E19" s="40" t="str">
        <x:v>中</x:v>
      </x:c>
      <x:c r="F19" s="40" t="str">
        <x:v>技术验证，不是全国肉质均值</x:v>
      </x:c>
      <x:c r="G19" s="40" t="str">
        <x:v>IFIP DATAPORC</x:v>
      </x:c>
    </x:row>
    <x:row r="20">
      <x:c r="A20" s="40" t="str">
        <x:v>火腿缺陷</x:v>
      </x:c>
      <x:c r="B20" s="40" t="str">
        <x:v>结构性缺陷频率</x:v>
      </x:c>
      <x:c r="C20" s="44" t="n">
        <x:v>0.19</x:v>
      </x:c>
      <x:c r="D20" s="40" t="str">
        <x:v>2019研究</x:v>
      </x:c>
      <x:c r="E20" s="40" t="str">
        <x:v>中</x:v>
      </x:c>
      <x:c r="F20" s="40" t="str">
        <x:v>10,000只火腿、5家屠宰场；旧研究，不能视为当前全国值</x:v>
      </x:c>
      <x:c r="G20" s="40" t="str">
        <x:v>IFIP</x:v>
      </x:c>
    </x:row>
    <x:row r="21">
      <x:c r="A21" s="37"/>
      <x:c r="B21" s="37"/>
      <x:c r="C21" s="37"/>
      <x:c r="D21" s="37"/>
      <x:c r="E21" s="37"/>
      <x:c r="F21" s="37"/>
      <x:c r="G21" s="37"/>
    </x:row>
    <x:row r="22">
      <x:c r="A22" s="38" t="str">
        <x:v>如何使用肉质数据</x:v>
      </x:c>
      <x:c r="B22" s="38"/>
      <x:c r="C22" s="38"/>
      <x:c r="D22" s="38"/>
      <x:c r="E22" s="38"/>
      <x:c r="F22" s="38"/>
      <x:c r="G22" s="38"/>
    </x:row>
    <x:row r="23">
      <x:c r="A23" s="41" t="str">
        <x:v>层级</x:v>
      </x:c>
      <x:c r="B23" s="41" t="str">
        <x:v>可直接用于决策</x:v>
      </x:c>
      <x:c r="C23" s="41" t="str">
        <x:v>不可直接用于决策</x:v>
      </x:c>
      <x:c r="D23" s="41" t="str">
        <x:v>下一步需要的数据</x:v>
      </x:c>
      <x:c r="E23" s="37"/>
      <x:c r="F23" s="37"/>
      <x:c r="G23" s="37"/>
    </x:row>
    <x:row r="24">
      <x:c r="A24" s="40" t="str">
        <x:v>胴体</x:v>
      </x:c>
      <x:c r="B24" s="40" t="str">
        <x:v>TMP、出栏重、分级区间</x:v>
      </x:c>
      <x:c r="C24" s="40" t="str">
        <x:v>把TMP当作食味</x:v>
      </x:c>
      <x:c r="D24" s="40" t="str">
        <x:v>同一屠宰场支付表、胴体重和扣补</x:v>
      </x:c>
      <x:c r="E24" s="37"/>
      <x:c r="F24" s="37"/>
      <x:c r="G24" s="37"/>
    </x:row>
    <x:row r="25">
      <x:c r="A25" s="40" t="str">
        <x:v>技术肉质</x:v>
      </x:c>
      <x:c r="B25" s="40" t="str">
        <x:v>pH、保水、肌内脂肪、剪切力</x:v>
      </x:c>
      <x:c r="C25" s="40" t="str">
        <x:v>不同基因型研究做全国平均</x:v>
      </x:c>
      <x:c r="D25" s="40" t="str">
        <x:v>同体重、性别、饲养方式下的盲评</x:v>
      </x:c>
      <x:c r="E25" s="37"/>
      <x:c r="F25" s="37"/>
      <x:c r="G25" s="37"/>
    </x:row>
    <x:row r="26">
      <x:c r="A26" s="40" t="str">
        <x:v>质量标签</x:v>
      </x:c>
      <x:c r="B26" s="40" t="str">
        <x:v>Label Rouge/有机的规模与趋势</x:v>
      </x:c>
      <x:c r="C26" s="40" t="str">
        <x:v>标签产量推导品质溢价</x:v>
      </x:c>
      <x:c r="D26" s="40" t="str">
        <x:v>渠道结算与消费者支付意愿</x:v>
      </x:c>
      <x:c r="E26" s="37"/>
      <x:c r="F26" s="37"/>
      <x:c r="G26" s="37"/>
    </x:row>
    <x:row r="27">
      <x:c r="A27" s="40" t="str">
        <x:v>公猪管理</x:v>
      </x:c>
      <x:c r="B27" s="40" t="str">
        <x:v>未阉割比例变化</x:v>
      </x:c>
      <x:c r="C27" s="40" t="str">
        <x:v>忽略雄烯酮/粪臭素风险</x:v>
      </x:c>
      <x:c r="D27" s="40" t="str">
        <x:v>屠宰端异味筛查和淘汰率</x:v>
      </x:c>
      <x:c r="E27" s="37"/>
      <x:c r="F27" s="37"/>
      <x:c r="G27" s="37"/>
    </x:row>
  </x:sheetData>
  <x:mergeCells>
    <x:mergeCell ref="A1:G1"/>
    <x:mergeCell ref="A2:G2"/>
    <x:mergeCell ref="A4:G4"/>
    <x:mergeCell ref="A12:G12"/>
    <x:mergeCell ref="A22:G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6" hidden="0" customWidth="1"/>
    <x:col min="3" max="3" width="28" hidden="0" customWidth="1"/>
    <x:col min="4" max="4" width="16" hidden="0" customWidth="1"/>
    <x:col min="5" max="5" width="34" hidden="0" customWidth="1"/>
    <x:col min="6" max="6" width="70" hidden="0" customWidth="1"/>
  </x:cols>
  <x:sheetData>
    <x:row r="1" ht="30" customHeight="1">
      <x:c r="A1" s="3" t="str">
        <x:v>来源、下载与口径说明</x:v>
      </x:c>
      <x:c r="B1" s="3"/>
      <x:c r="C1" s="3"/>
      <x:c r="D1" s="3"/>
      <x:c r="E1" s="3"/>
      <x:c r="F1" s="3"/>
    </x:row>
    <x:row r="2" ht="34" customHeight="1">
      <x:c r="A2" s="36" t="str">
        <x:v>全部为可公开访问的机构来源；Excel中不使用未经证实的公司宣传数据替代全国统计。</x:v>
      </x:c>
      <x:c r="B2" s="36"/>
      <x:c r="C2" s="36"/>
      <x:c r="D2" s="36"/>
      <x:c r="E2" s="36"/>
      <x:c r="F2" s="36"/>
    </x:row>
    <x:row r="3">
      <x:c r="A3" s="37"/>
      <x:c r="B3" s="37"/>
      <x:c r="C3" s="37"/>
      <x:c r="D3" s="37"/>
      <x:c r="E3" s="37"/>
      <x:c r="F3" s="37"/>
    </x:row>
    <x:row r="4">
      <x:c r="A4" s="41" t="str">
        <x:v>序号</x:v>
      </x:c>
      <x:c r="B4" s="41" t="str">
        <x:v>文件/页面</x:v>
      </x:c>
      <x:c r="C4" s="41" t="str">
        <x:v>发布机构</x:v>
      </x:c>
      <x:c r="D4" s="41" t="str">
        <x:v>年份</x:v>
      </x:c>
      <x:c r="E4" s="41" t="str">
        <x:v>用途</x:v>
      </x:c>
      <x:c r="F4" s="41" t="str">
        <x:v>公开链接</x:v>
      </x:c>
    </x:row>
    <x:row r="5" ht="48" customHeight="1">
      <x:c r="A5" s="40" t="n">
        <x:v>1</x:v>
      </x:c>
      <x:c r="B5" s="40" t="str">
        <x:v>Le porc par les chiffres 2025-2026</x:v>
      </x:c>
      <x:c r="C5" s="40" t="str">
        <x:v>IFIP</x:v>
      </x:c>
      <x:c r="D5" s="40" t="str">
        <x:v>2025</x:v>
      </x:c>
      <x:c r="E5" s="40" t="str">
        <x:v>法国行业、GTTT/GTE、价格、质量标签</x:v>
      </x:c>
      <x:c r="F5" s="48" t="str">
        <x:v>https://ifip.asso.fr/app/uploads/2025/09/ppc-ifip2026.pdf</x:v>
      </x:c>
    </x:row>
    <x:row r="6" ht="48" customHeight="1">
      <x:c r="A6" s="40" t="n">
        <x:v>2</x:v>
      </x:c>
      <x:c r="B6" s="40" t="str">
        <x:v>法国2025年畜牧业形势年度报告</x:v>
      </x:c>
      <x:c r="C6" s="40" t="str">
        <x:v>Agreste</x:v>
      </x:c>
      <x:c r="D6" s="40" t="str">
        <x:v>2026</x:v>
      </x:c>
      <x:c r="E6" s="40" t="str">
        <x:v>2025前9个月生产、价格和饲料动态</x:v>
      </x:c>
      <x:c r="F6" s="48" t="str">
        <x:v>https://www.agreste.agriculture.gouv.fr/agreste-web/download/publication/publie/BilanConj2025/Bilan_conjoncturel_2025.pdf</x:v>
      </x:c>
    </x:row>
    <x:row r="7" ht="48" customHeight="1">
      <x:c r="A7" s="40" t="n">
        <x:v>3</x:v>
      </x:c>
      <x:c r="B7" s="40" t="str">
        <x:v>Graph’Agri 2025 - Porcins</x:v>
      </x:c>
      <x:c r="C7" s="40" t="str">
        <x:v>Agreste</x:v>
      </x:c>
      <x:c r="D7" s="40" t="str">
        <x:v>2025</x:v>
      </x:c>
      <x:c r="E7" s="40" t="str">
        <x:v>官方存栏、价格、生产统计入口</x:v>
      </x:c>
      <x:c r="F7" s="48" t="str">
        <x:v>https://agreste.agriculture.gouv.fr/agreste-web/disaron/GraFra2025Chap12.9/detail/</x:v>
      </x:c>
    </x:row>
    <x:row r="8" ht="48" customHeight="1">
      <x:c r="A8" s="40" t="n">
        <x:v>4</x:v>
      </x:c>
      <x:c r="B8" s="40" t="str">
        <x:v>IFIP: non-castrated male pigs study</x:v>
      </x:c>
      <x:c r="C8" s="40" t="str">
        <x:v>IFIP</x:v>
      </x:c>
      <x:c r="D8" s="40" t="str">
        <x:v>2024</x:v>
      </x:c>
      <x:c r="E8" s="40" t="str">
        <x:v>基因型、肉质和公猪异味研究</x:v>
      </x:c>
      <x:c r="F8" s="48" t="str">
        <x:v>https://ifip.asso.fr/documentations/46802-effets-du-type-genetique-sur-le-bien-etre-et-la-qualite-de-la-viande-de-porcs-males-non-castres-en-elevage-biologique/</x:v>
      </x:c>
    </x:row>
    <x:row r="9" ht="48" customHeight="1">
      <x:c r="A9" s="40" t="n">
        <x:v>5</x:v>
      </x:c>
      <x:c r="B9" s="40" t="str">
        <x:v>IFIP: water-holding capacity prediction</x:v>
      </x:c>
      <x:c r="C9" s="40" t="str">
        <x:v>IFIP</x:v>
      </x:c>
      <x:c r="D9" s="40" t="str">
        <x:v>2024</x:v>
      </x:c>
      <x:c r="E9" s="40" t="str">
        <x:v>屠宰端肉质检测技术</x:v>
      </x:c>
      <x:c r="F9" s="48" t="str">
        <x:v>https://ifip.asso.fr/actualites/comparer-la-visionique-et-la-spectroscopie-visnir-pour-predire-la-capacite-de-retention-deau-de-la-viande-de-porc/</x:v>
      </x:c>
    </x:row>
    <x:row r="10" ht="48" customHeight="1">
      <x:c r="A10" s="40" t="n">
        <x:v>6</x:v>
      </x:c>
      <x:c r="B10" s="40" t="str">
        <x:v>IFIP: ham structural defect</x:v>
      </x:c>
      <x:c r="C10" s="40" t="str">
        <x:v>IFIP</x:v>
      </x:c>
      <x:c r="D10" s="40" t="str">
        <x:v>2024</x:v>
      </x:c>
      <x:c r="E10" s="40" t="str">
        <x:v>火腿质量缺陷研究</x:v>
      </x:c>
      <x:c r="F10" s="48" t="str">
        <x:v>https://ifip.asso.fr/documentations/46001-porc-male-non-castre-effet-sur-le-taux-de-jambons-destructures/</x:v>
      </x:c>
    </x:row>
    <x:row r="11" ht="48" customHeight="1">
      <x:c r="A11" s="40" t="n">
        <x:v>7</x:v>
      </x:c>
      <x:c r="B11" s="40" t="str">
        <x:v>Agreste porcine survey methodology</x:v>
      </x:c>
      <x:c r="C11" s="40" t="str">
        <x:v>Agreste</x:v>
      </x:c>
      <x:c r="D11" s="40" t="str">
        <x:v>2026</x:v>
      </x:c>
      <x:c r="E11" s="40" t="str">
        <x:v>官方存栏调查方法与覆盖范围</x:v>
      </x:c>
      <x:c r="F11" s="48" t="str">
        <x:v>https://agreste.agriculture.gouv.fr/agreste-web/methodon/S-Cheptels2025/methodon/</x:v>
      </x:c>
    </x:row>
    <x:row r="12" ht="48" customHeight="1">
      <x:c r="A12" s="40" t="n">
        <x:v>8</x:v>
      </x:c>
      <x:c r="B12" s="40" t="str">
        <x:v>IFIP 2025 pork consumption study</x:v>
      </x:c>
      <x:c r="C12" s="40" t="str">
        <x:v>IFIP</x:v>
      </x:c>
      <x:c r="D12" s="40" t="str">
        <x:v>2025</x:v>
      </x:c>
      <x:c r="E12" s="40" t="str">
        <x:v>消费结构与肉制品占比</x:v>
      </x:c>
      <x:c r="F12" s="48" t="str">
        <x:v>https://ifip.asso.fr/documentations/49229-evaluation-quantitative-de-la-consommation-du-porc-en-france-en-2021/</x:v>
      </x:c>
    </x:row>
    <x:row r="13">
      <x:c r="A13" s="37"/>
      <x:c r="B13" s="37"/>
      <x:c r="C13" s="37"/>
      <x:c r="D13" s="37"/>
      <x:c r="E13" s="37"/>
      <x:c r="F13" s="37"/>
    </x:row>
    <x:row r="14">
      <x:c r="A14" s="38" t="str">
        <x:v>核心术语</x:v>
      </x:c>
      <x:c r="B14" s="38"/>
      <x:c r="C14" s="38"/>
      <x:c r="D14" s="38"/>
      <x:c r="E14" s="38"/>
      <x:c r="F14" s="38"/>
    </x:row>
    <x:row r="15">
      <x:c r="A15" s="41" t="str">
        <x:v>术语</x:v>
      </x:c>
      <x:c r="B15" s="41" t="str">
        <x:v>说明</x:v>
      </x:c>
      <x:c r="C15" s="37"/>
      <x:c r="D15" s="37"/>
      <x:c r="E15" s="37"/>
      <x:c r="F15" s="37"/>
    </x:row>
    <x:row r="16">
      <x:c r="A16" s="40" t="str">
        <x:v>GTTT</x:v>
      </x:c>
      <x:c r="B16" s="40" t="str">
        <x:v>Gestion Technique des Troupeaux de Truies：母猪群技术管理样本。</x:v>
      </x:c>
      <x:c r="C16" s="37"/>
      <x:c r="D16" s="37"/>
      <x:c r="E16" s="37"/>
      <x:c r="F16" s="37"/>
    </x:row>
    <x:row r="17">
      <x:c r="A17" s="40" t="str">
        <x:v>GTE</x:v>
      </x:c>
      <x:c r="B17" s="40" t="str">
        <x:v>Gestion Technico-Économique：技术经济管理样本；本表为自繁自养场。</x:v>
      </x:c>
      <x:c r="C17" s="37"/>
      <x:c r="D17" s="37"/>
      <x:c r="E17" s="37"/>
      <x:c r="F17" s="37"/>
    </x:row>
    <x:row r="18">
      <x:c r="A18" s="40" t="str">
        <x:v>TMP</x:v>
      </x:c>
      <x:c r="B18" s="40" t="str">
        <x:v>Taux de Muscle des Pièces：法国屠宰瘦肉率指标。</x:v>
      </x:c>
      <x:c r="C18" s="37"/>
      <x:c r="D18" s="37"/>
      <x:c r="E18" s="37"/>
      <x:c r="F18" s="37"/>
    </x:row>
    <x:row r="19">
      <x:c r="A19" s="40" t="str">
        <x:v>PIB/CIB</x:v>
      </x:c>
      <x:c r="B19" s="40" t="str">
        <x:v>生产/表观消费；以胴体当量计。</x:v>
      </x:c>
      <x:c r="C19" s="37"/>
      <x:c r="D19" s="37"/>
      <x:c r="E19" s="37"/>
      <x:c r="F19" s="37"/>
    </x:row>
    <x:row r="20">
      <x:c r="A20" s="40" t="str">
        <x:v>“上1/3”</x:v>
      </x:c>
      <x:c r="B20" s="40" t="str">
        <x:v>IFIP样本按生产率或利润指标分组，不能直接解释为遗传优劣。</x:v>
      </x:c>
      <x:c r="C20" s="37"/>
      <x:c r="D20" s="37"/>
      <x:c r="E20" s="37"/>
      <x:c r="F20" s="37"/>
    </x:row>
  </x:sheetData>
  <x:mergeCells>
    <x:mergeCell ref="A1:F1"/>
    <x:mergeCell ref="A2:F2"/>
    <x:mergeCell ref="A14:F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图表数据</x:v>
      </x:c>
      <x:c r="B1" s="3"/>
      <x:c r="C1" s="3"/>
    </x:row>
    <x:row r="2" ht="34" customHeight="1">
      <x:c r="A2" s="36" t="str">
        <x:v>图表数据由“行业规模”表公式引用，便于审计。</x:v>
      </x:c>
      <x:c r="B2" s="36"/>
      <x:c r="C2" s="36"/>
    </x:row>
    <x:row r="3">
      <x:c r="A3" s="37"/>
      <x:c r="B3" s="37"/>
      <x:c r="C3" s="37"/>
    </x:row>
    <x:row r="4">
      <x:c r="A4" s="41" t="str">
        <x:v>年份</x:v>
      </x:c>
      <x:c r="B4" s="41" t="str">
        <x:v>生产（千吨）</x:v>
      </x:c>
      <x:c r="C4" s="41" t="str">
        <x:v>表观消费（千吨）</x:v>
      </x:c>
    </x:row>
    <x:row r="5">
      <x:c r="A5" s="40" t="n">
        <x:v>2021</x:v>
      </x:c>
      <x:c r="B5" s="40" t="n">
        <x:f>'行业规模'!B6</x:f>
        <x:v>2252</x:v>
      </x:c>
      <x:c r="C5" s="40" t="n">
        <x:f>'行业规模'!B9</x:f>
        <x:v>2190</x:v>
      </x:c>
    </x:row>
    <x:row r="6">
      <x:c r="A6" s="40" t="n">
        <x:v>2022</x:v>
      </x:c>
      <x:c r="B6" s="40" t="n">
        <x:f>'行业规模'!C6</x:f>
        <x:v>2185</x:v>
      </x:c>
      <x:c r="C6" s="40" t="n">
        <x:f>'行业规模'!C9</x:f>
        <x:v>2168</x:v>
      </x:c>
    </x:row>
    <x:row r="7">
      <x:c r="A7" s="40" t="n">
        <x:v>2023</x:v>
      </x:c>
      <x:c r="B7" s="40" t="n">
        <x:f>'行业规模'!D6</x:f>
        <x:v>2086</x:v>
      </x:c>
      <x:c r="C7" s="40" t="n">
        <x:f>'行业规模'!D9</x:f>
        <x:v>2117</x:v>
      </x:c>
    </x:row>
    <x:row r="8">
      <x:c r="A8" s="40" t="n">
        <x:v>2024</x:v>
      </x:c>
      <x:c r="B8" s="40" t="n">
        <x:f>'行业规模'!E6</x:f>
        <x:v>2133</x:v>
      </x:c>
      <x:c r="C8" s="40" t="n">
        <x:f>'行业规模'!E9</x:f>
        <x:v>2158</x:v>
      </x:c>
    </x:row>
  </x:sheetData>
  <x:mergeCells>
    <x:mergeCell ref="A1:C1"/>
    <x:mergeCell ref="A2:C2"/>
  </x:mergeCells>
  <x:pageMargins left="0.7" right="0.7" top="0.75" bottom="0.75" header="0.3" footer="0.3"/>
</x:worksheet>
</file>