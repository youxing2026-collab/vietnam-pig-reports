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sap-mo-ban-cot-let-meatcool-tui-900g-ol341387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nac-dam-heo-vinh-tan-khay-200g" TargetMode="External" Id="rId5"/><Relationship Type="http://schemas.openxmlformats.org/officeDocument/2006/relationships/hyperlink" Target="https://kingfoodmart.com/thit-heo/nac-cot-let-cat-vinh-tan-khay-400g-1-khay" TargetMode="External" Id="rId6"/><Relationship Type="http://schemas.openxmlformats.org/officeDocument/2006/relationships/hyperlink" Target="https://kingfoodmart.com/thit-heo/nac-dui-heo-cat-xao-vinh-tan-khay-200g" TargetMode="External" Id="rId7"/><Relationship Type="http://schemas.openxmlformats.org/officeDocument/2006/relationships/hyperlink" Target="https://winmart.vn/products/meat-deli-sig-suon-than-suon-non--s10281593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越南猪肉零售价格日报｜2026-08-12</t>
        </is>
      </c>
    </row>
    <row r="2" ht="34" customHeight="1">
      <c r="A2" s="2" t="inlineStr">
        <is>
          <t>采集时间：越南时间 05:24。所有商品售价均统一折算为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8条在售商品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越南猪肉零售明细｜2026-08-12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BAF</t>
        </is>
      </c>
      <c r="E6" s="5" t="inlineStr">
        <is>
          <t>BAF</t>
        </is>
      </c>
      <c r="F6" s="5" t="inlineStr">
        <is>
          <t>梅花肉</t>
        </is>
      </c>
      <c r="G6" s="5" t="inlineStr">
        <is>
          <t>Nạc dăm heo BAF khay 300g</t>
        </is>
      </c>
      <c r="H6" s="5" t="inlineStr">
        <is>
          <t>冷鲜</t>
        </is>
      </c>
      <c r="I6" s="7" t="n">
        <v>300</v>
      </c>
      <c r="J6" s="7" t="n">
        <v>74000</v>
      </c>
      <c r="K6" s="7" t="n">
        <v>246667</v>
      </c>
      <c r="L6" s="7" t="n"/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https://kingfoodmart.com/thit-heo/nac-dam-heo-baf-khay-300g-1-khay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GREENFEED</t>
        </is>
      </c>
      <c r="E7" s="5" t="inlineStr">
        <is>
          <t>Meatcool</t>
        </is>
      </c>
      <c r="F7" s="5" t="inlineStr">
        <is>
          <t>猪排</t>
        </is>
      </c>
      <c r="G7" s="5" t="inlineStr">
        <is>
          <t>Cốt lết Meatcool 9-10 miếng/túi 900g</t>
        </is>
      </c>
      <c r="H7" s="5" t="inlineStr">
        <is>
          <t>冷鲜</t>
        </is>
      </c>
      <c r="I7" s="7" t="n">
        <v>900</v>
      </c>
      <c r="J7" s="7" t="n">
        <v>125000</v>
      </c>
      <c r="K7" s="7" t="n">
        <v>138889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https://kingfoodmart.com/thit-heo/sap-mo-ban-cot-let-meatcool-tui-900g-ol341387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Vĩnh Tân</t>
        </is>
      </c>
      <c r="E9" s="5" t="inlineStr">
        <is>
          <t>Vĩnh Tân</t>
        </is>
      </c>
      <c r="F9" s="5" t="inlineStr">
        <is>
          <t>梅花肉</t>
        </is>
      </c>
      <c r="G9" s="5" t="inlineStr">
        <is>
          <t>Nạc dăm heo Vĩnh Tân khay 200g</t>
        </is>
      </c>
      <c r="H9" s="5" t="inlineStr">
        <is>
          <t>冷鲜</t>
        </is>
      </c>
      <c r="I9" s="7" t="n">
        <v>200</v>
      </c>
      <c r="J9" s="7" t="n">
        <v>38000</v>
      </c>
      <c r="K9" s="7" t="n">
        <v>190000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https://kingfoodmart.com/thit-heo/nac-dam-heo-vinh-tan-khay-200g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猪排</t>
        </is>
      </c>
      <c r="G10" s="5" t="inlineStr">
        <is>
          <t>Nạc cốt lết cắt Vĩnh Tân khay 400g</t>
        </is>
      </c>
      <c r="H10" s="5" t="inlineStr">
        <is>
          <t>冷鲜</t>
        </is>
      </c>
      <c r="I10" s="7" t="n">
        <v>400</v>
      </c>
      <c r="J10" s="7" t="n">
        <v>79000</v>
      </c>
      <c r="K10" s="7" t="n">
        <v>197500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https://kingfoodmart.com/thit-heo/nac-cot-let-cat-vinh-tan-khay-400g-1-khay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后腿肉</t>
        </is>
      </c>
      <c r="G11" s="5" t="inlineStr">
        <is>
          <t>Nạc đùi heo cắt xào Vĩnh Tân khay 200g</t>
        </is>
      </c>
      <c r="H11" s="5" t="inlineStr">
        <is>
          <t>冷鲜</t>
        </is>
      </c>
      <c r="I11" s="7" t="n">
        <v>200</v>
      </c>
      <c r="J11" s="7" t="n">
        <v>33000</v>
      </c>
      <c r="K11" s="7" t="n">
        <v>165000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https://kingfoodmart.com/thit-heo/nac-dui-heo-cat-xao-vinh-tan-khay-200g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</sheetData>
  <mergeCells count="2">
    <mergeCell ref="A1:O1"/>
    <mergeCell ref="A2:O2"/>
  </mergeCells>
  <conditionalFormatting sqref="M5:M12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12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7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11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WinMart</t>
        </is>
      </c>
      <c r="B9" s="5" t="inlineStr">
        <is>
          <t>MEATDeli</t>
        </is>
      </c>
      <c r="C9" s="5" t="inlineStr">
        <is>
          <t>肩肉</t>
        </is>
      </c>
      <c r="D9" s="5" t="inlineStr">
        <is>
          <t>WinMart默认门店（待固定城市）</t>
        </is>
      </c>
      <c r="E9" s="7" t="n">
        <v>1</v>
      </c>
      <c r="F9" s="7" t="n">
        <v>168900</v>
      </c>
      <c r="G9" s="7" t="n">
        <v>168900</v>
      </c>
      <c r="H9" s="7" t="n">
        <v>168900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五花肉</t>
        </is>
      </c>
      <c r="D10" s="5" t="inlineStr">
        <is>
          <t>胡志明市/Kingfoodmart默认门店</t>
        </is>
      </c>
      <c r="E10" s="7" t="n">
        <v>4</v>
      </c>
      <c r="F10" s="7" t="n">
        <v>195000</v>
      </c>
      <c r="G10" s="7" t="n">
        <v>195000</v>
      </c>
      <c r="H10" s="7" t="n">
        <v>195000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后腿肉</t>
        </is>
      </c>
      <c r="D11" s="5" t="inlineStr">
        <is>
          <t>胡志明市/Kingfoodmart默认门店</t>
        </is>
      </c>
      <c r="E11" s="7" t="n">
        <v>11</v>
      </c>
      <c r="F11" s="7" t="n">
        <v>138889</v>
      </c>
      <c r="G11" s="7" t="n">
        <v>138889</v>
      </c>
      <c r="H11" s="7" t="n">
        <v>138889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梅花肉</t>
        </is>
      </c>
      <c r="D12" s="5" t="inlineStr">
        <is>
          <t>胡志明市/Kingfoodmart默认门店</t>
        </is>
      </c>
      <c r="E12" s="7" t="n">
        <v>12</v>
      </c>
      <c r="F12" s="7" t="n">
        <v>192100</v>
      </c>
      <c r="G12" s="7" t="n">
        <v>192100</v>
      </c>
      <c r="H12" s="7" t="n">
        <v>192100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Meatcool</t>
        </is>
      </c>
      <c r="C13" s="5" t="inlineStr">
        <is>
          <t>猪排</t>
        </is>
      </c>
      <c r="D13" s="5" t="inlineStr">
        <is>
          <t>胡志明市/Kingfoodmart默认门店</t>
        </is>
      </c>
      <c r="E13" s="7" t="n">
        <v>11</v>
      </c>
      <c r="F13" s="7" t="n">
        <v>138889</v>
      </c>
      <c r="G13" s="7" t="n">
        <v>138889</v>
      </c>
      <c r="H13" s="7" t="n">
        <v>138889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后腿肉</t>
        </is>
      </c>
      <c r="D14" s="5" t="inlineStr">
        <is>
          <t>胡志明市/Kingfoodmart默认门店</t>
        </is>
      </c>
      <c r="E14" s="7" t="n">
        <v>8</v>
      </c>
      <c r="F14" s="7" t="n">
        <v>165000</v>
      </c>
      <c r="G14" s="7" t="n">
        <v>165000</v>
      </c>
      <c r="H14" s="7" t="n">
        <v>165000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梅花肉</t>
        </is>
      </c>
      <c r="D15" s="5" t="inlineStr">
        <is>
          <t>胡志明市/Kingfoodmart默认门店</t>
        </is>
      </c>
      <c r="E15" s="7" t="n">
        <v>12</v>
      </c>
      <c r="F15" s="7" t="n">
        <v>190000</v>
      </c>
      <c r="G15" s="7" t="n">
        <v>190000</v>
      </c>
      <c r="H15" s="7" t="n">
        <v>190000</v>
      </c>
      <c r="I15" s="9">
        <f>IF(E15&lt;2,"",G15/F15-1)</f>
        <v/>
      </c>
      <c r="J15" s="5">
        <f>IF(E15&lt;2,"积累中",IF(I15&gt;=0.01,"上涨",IF(I15&lt;=-0.01,"下降","平稳")))</f>
        <v/>
      </c>
    </row>
    <row r="16" ht="30" customHeight="1">
      <c r="A16" s="5" t="inlineStr">
        <is>
          <t>Kingfoodmart</t>
        </is>
      </c>
      <c r="B16" s="5" t="inlineStr">
        <is>
          <t>Vĩnh Tân</t>
        </is>
      </c>
      <c r="C16" s="5" t="inlineStr">
        <is>
          <t>猪排</t>
        </is>
      </c>
      <c r="D16" s="5" t="inlineStr">
        <is>
          <t>胡志明市/Kingfoodmart默认门店</t>
        </is>
      </c>
      <c r="E16" s="7" t="n">
        <v>12</v>
      </c>
      <c r="F16" s="7" t="n">
        <v>197500</v>
      </c>
      <c r="G16" s="7" t="n">
        <v>197500</v>
      </c>
      <c r="H16" s="7" t="n">
        <v>197500</v>
      </c>
      <c r="I16" s="9">
        <f>IF(E16&lt;2,"",G16/F16-1)</f>
        <v/>
      </c>
      <c r="J16" s="5">
        <f>IF(E16&lt;2,"积累中",IF(I16&gt;=0.01,"上涨",IF(I16&lt;=-0.01,"下降","平稳")))</f>
        <v/>
      </c>
    </row>
  </sheetData>
  <mergeCells count="2">
    <mergeCell ref="A1:J1"/>
    <mergeCell ref="A2:J2"/>
  </mergeCells>
  <conditionalFormatting sqref="I5:I16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2026-08-11T22:24:40Z</dcterms:created>
  <dcterms:modified xmlns:dcterms="http://purl.org/dc/terms/" xmlns:xsi="http://www.w3.org/2001/XMLSchema-instance" xsi:type="dcterms:W3CDTF">2026-08-11T22:24:40Z</dcterms:modified>
</cp:coreProperties>
</file>