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" sheetId="1" state="visible" r:id="rId1"/>
    <sheet xmlns:r="http://schemas.openxmlformats.org/officeDocument/2006/relationships" name="今日价格表" sheetId="2" state="visible" r:id="rId2"/>
    <sheet xmlns:r="http://schemas.openxmlformats.org/officeDocument/2006/relationships" name="月度趋势" sheetId="3" state="visible" r:id="rId3"/>
    <sheet xmlns:r="http://schemas.openxmlformats.org/officeDocument/2006/relationships" name="来源与口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ptos Display"/>
      <b val="1"/>
      <color rgb="00FFFFFF"/>
      <sz val="16"/>
    </font>
    <font>
      <name val="Aptos"/>
      <i val="1"/>
      <color rgb="003D4B57"/>
    </font>
    <font>
      <name val="Aptos"/>
      <b val="1"/>
      <color rgb="00123047"/>
    </font>
    <font>
      <name val="Aptos"/>
      <color rgb="001F2933"/>
      <sz val="10"/>
    </font>
    <font>
      <name val="Aptos"/>
      <i val="1"/>
      <color rgb="006B4C00"/>
    </font>
    <font>
      <name val="Calibri"/>
      <family val="2"/>
      <color theme="10"/>
      <sz val="12"/>
      <scheme val="minor"/>
    </font>
  </fonts>
  <fills count="7">
    <fill>
      <patternFill/>
    </fill>
    <fill>
      <patternFill patternType="gray125"/>
    </fill>
    <fill>
      <patternFill patternType="solid">
        <fgColor rgb="00123047"/>
      </patternFill>
    </fill>
    <fill>
      <patternFill patternType="solid">
        <fgColor rgb="00EAF0F4"/>
      </patternFill>
    </fill>
    <fill>
      <patternFill patternType="solid">
        <fgColor rgb="00DCEAF0"/>
      </patternFill>
    </fill>
    <fill>
      <patternFill patternType="solid">
        <fgColor rgb="00E6F3F3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>
        <color rgb="00D7DEE4"/>
      </left>
      <right style="thin">
        <color rgb="00D7DEE4"/>
      </right>
      <top style="thin">
        <color rgb="00D7DEE4"/>
      </top>
      <bottom style="thin">
        <color rgb="00D7DEE4"/>
      </bottom>
    </border>
  </borders>
  <cellStyleXfs count="2">
    <xf numFmtId="0" fontId="0" fillId="0" borderId="0"/>
    <xf numFmtId="0" fontId="6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6" borderId="1" applyAlignment="1" pivotButton="0" quotePrefix="0" xfId="0">
      <alignment vertical="center" wrapText="1"/>
    </xf>
    <xf numFmtId="3" fontId="4" fillId="0" borderId="1" applyAlignment="1" pivotButton="0" quotePrefix="0" xfId="0">
      <alignment vertical="top" wrapText="1"/>
    </xf>
    <xf numFmtId="0" fontId="4" fillId="0" borderId="1" applyAlignment="1" pivotButton="0" quotePrefix="0" xfId="1">
      <alignment vertical="top" wrapText="1"/>
    </xf>
    <xf numFmtId="164" fontId="4" fillId="0" borderId="1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dxfs count="2">
    <dxf>
      <fill>
        <patternFill patternType="solid">
          <fgColor rgb="00E8F5E9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inmart.vn/products/meat-deli-sig-suon-than-suon-non--s10281593" TargetMode="External" Id="rId1"/><Relationship Type="http://schemas.openxmlformats.org/officeDocument/2006/relationships/hyperlink" Target="https://winmart.vn/products/meat-deli-nac-dam-heo--s10617957" TargetMode="External" Id="rId2"/><Relationship Type="http://schemas.openxmlformats.org/officeDocument/2006/relationships/hyperlink" Target="https://winmart.vn/products/meat-deli-ba-roi-heo--s10617959" TargetMode="External" Id="rId3"/></Relationships>
</file>

<file path=xl/worksheets/_rels/sheet4.xml.rels><Relationships xmlns="http://schemas.openxmlformats.org/package/2006/relationships"><Relationship Type="http://schemas.openxmlformats.org/officeDocument/2006/relationships/hyperlink" Target="https://winmart.vn/products/meat-deli-sig-suon-than-suon-non--s1028159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6" customWidth="1" min="3" max="3"/>
    <col width="48" customWidth="1" min="4" max="4"/>
  </cols>
  <sheetData>
    <row r="1" ht="28" customHeight="1">
      <c r="A1" s="1" t="inlineStr">
        <is>
          <t>越南猪肉零售价格日报｜2026-09-28</t>
        </is>
      </c>
    </row>
    <row r="2" ht="34" customHeight="1">
      <c r="A2" s="2" t="inlineStr">
        <is>
          <t>采集时间：越南时间 08:11。所有商品售价均统一折算为 VND/kg；常规价和促销价分别保留。</t>
        </is>
      </c>
    </row>
    <row r="4">
      <c r="A4" s="3" t="inlineStr">
        <is>
          <t>项目</t>
        </is>
      </c>
      <c r="B4" s="3" t="inlineStr">
        <is>
          <t>结果</t>
        </is>
      </c>
      <c r="C4" s="3" t="inlineStr">
        <is>
          <t>范围</t>
        </is>
      </c>
      <c r="D4" s="3" t="inlineStr">
        <is>
          <t>解释</t>
        </is>
      </c>
    </row>
    <row r="5">
      <c r="A5" s="4" t="inlineStr">
        <is>
          <t>覆盖</t>
        </is>
      </c>
      <c r="B5" s="5" t="inlineStr">
        <is>
          <t>3条在售商品</t>
        </is>
      </c>
      <c r="C5" s="5" t="inlineStr">
        <is>
          <t>渠道：WinMart</t>
        </is>
      </c>
      <c r="D5" s="5" t="inlineStr">
        <is>
          <t>只纳入商品页可核验的价格、重量与库存。</t>
        </is>
      </c>
    </row>
    <row r="6">
      <c r="A6" s="4" t="inlineStr">
        <is>
          <t>品牌</t>
        </is>
      </c>
      <c r="B6" s="5" t="inlineStr">
        <is>
          <t>1个</t>
        </is>
      </c>
      <c r="C6" s="5" t="inlineStr">
        <is>
          <t>MEATDeli</t>
        </is>
      </c>
      <c r="D6" s="5" t="inlineStr">
        <is>
          <t>品牌与平台/来源分开记录。</t>
        </is>
      </c>
    </row>
    <row r="7">
      <c r="A7" s="4" t="inlineStr">
        <is>
          <t>可比趋势</t>
        </is>
      </c>
      <c r="B7" s="5" t="inlineStr">
        <is>
          <t>12组</t>
        </is>
      </c>
      <c r="C7" s="5" t="inlineStr">
        <is>
          <t>同一渠道×品牌×部位×门店口径</t>
        </is>
      </c>
      <c r="D7" s="5" t="inlineStr">
        <is>
          <t>至少两日数据才计算月度变化。</t>
        </is>
      </c>
    </row>
    <row r="8">
      <c r="A8" s="4" t="inlineStr">
        <is>
          <t>数据限制</t>
        </is>
      </c>
      <c r="B8" s="5" t="inlineStr">
        <is>
          <t>配送门店未固定</t>
        </is>
      </c>
      <c r="C8" s="5" t="inlineStr">
        <is>
          <t>默认门店不用于地区横向结论</t>
        </is>
      </c>
      <c r="D8" s="5" t="inlineStr">
        <is>
          <t>未展示原价时只标记当前价，不猜测促销。</t>
        </is>
      </c>
    </row>
    <row r="10">
      <c r="A10" s="6" t="inlineStr">
        <is>
          <t>使用方法：先在“今日价格表”查看商品级价格、规格、常规价与促销价；再在“月度趋势”只比较相同渠道、品牌、部位和门店口径。绿色代表下降、红色代表上涨、黄色表示数据积累中。零售价格不可与活猪、白条或批发价直接比较。</t>
        </is>
      </c>
    </row>
    <row r="11"/>
    <row r="12"/>
  </sheetData>
  <mergeCells count="3">
    <mergeCell ref="A10:D12"/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8" customWidth="1" min="3" max="3"/>
    <col width="18" customWidth="1" min="4" max="4"/>
    <col width="15" customWidth="1" min="5" max="5"/>
    <col width="16" customWidth="1" min="6" max="6"/>
    <col width="44" customWidth="1" min="7" max="7"/>
    <col width="12" customWidth="1" min="8" max="8"/>
    <col width="14" customWidth="1" min="9" max="9"/>
    <col width="16" customWidth="1" min="10" max="10"/>
    <col width="16" customWidth="1" min="11" max="11"/>
    <col width="16" customWidth="1" min="12" max="12"/>
    <col width="16" customWidth="1" min="13" max="13"/>
    <col width="44" customWidth="1" min="14" max="14"/>
    <col width="56" customWidth="1" min="15" max="15"/>
  </cols>
  <sheetData>
    <row r="1" ht="28" customHeight="1">
      <c r="A1" s="1" t="inlineStr">
        <is>
          <t>越南猪肉零售明细｜2026-09-28</t>
        </is>
      </c>
    </row>
    <row r="2" ht="34" customHeight="1">
      <c r="A2" s="2" t="inlineStr">
        <is>
          <t>单位：VND/kg。实际价优先使用促销价；每一行保留商品原文、规格、门店口径和公开来源链接。</t>
        </is>
      </c>
    </row>
    <row r="4">
      <c r="A4" s="3" t="inlineStr">
        <is>
          <t>地区</t>
        </is>
      </c>
      <c r="B4" s="3" t="inlineStr">
        <is>
          <t>城市/门店口径</t>
        </is>
      </c>
      <c r="C4" s="3" t="inlineStr">
        <is>
          <t>渠道</t>
        </is>
      </c>
      <c r="D4" s="3" t="inlineStr">
        <is>
          <t>企业</t>
        </is>
      </c>
      <c r="E4" s="3" t="inlineStr">
        <is>
          <t>品牌</t>
        </is>
      </c>
      <c r="F4" s="3" t="inlineStr">
        <is>
          <t>中文部位</t>
        </is>
      </c>
      <c r="G4" s="3" t="inlineStr">
        <is>
          <t>越南语商品名</t>
        </is>
      </c>
      <c r="H4" s="3" t="inlineStr">
        <is>
          <t>状态</t>
        </is>
      </c>
      <c r="I4" s="3" t="inlineStr">
        <is>
          <t>包装重量(g)</t>
        </is>
      </c>
      <c r="J4" s="3" t="inlineStr">
        <is>
          <t>包装售价(VND)</t>
        </is>
      </c>
      <c r="K4" s="3" t="inlineStr">
        <is>
          <t>常规价/kg</t>
        </is>
      </c>
      <c r="L4" s="3" t="inlineStr">
        <is>
          <t>促销价/kg</t>
        </is>
      </c>
      <c r="M4" s="3" t="inlineStr">
        <is>
          <t>实际价/kg</t>
        </is>
      </c>
      <c r="N4" s="3" t="inlineStr">
        <is>
          <t>可信度</t>
        </is>
      </c>
      <c r="O4" s="3" t="inlineStr">
        <is>
          <t>来源链接</t>
        </is>
      </c>
    </row>
    <row r="5" ht="32" customHeight="1">
      <c r="A5" s="5" t="inlineStr">
        <is>
          <t>全国渠道</t>
        </is>
      </c>
      <c r="B5" s="5" t="inlineStr">
        <is>
          <t>WinMart默认门店（待固定城市）</t>
        </is>
      </c>
      <c r="C5" s="5" t="inlineStr">
        <is>
          <t>WinMart</t>
        </is>
      </c>
      <c r="D5" s="5" t="inlineStr">
        <is>
          <t>Masan</t>
        </is>
      </c>
      <c r="E5" s="5" t="inlineStr">
        <is>
          <t>MEATDeli</t>
        </is>
      </c>
      <c r="F5" s="5" t="inlineStr">
        <is>
          <t>小排</t>
        </is>
      </c>
      <c r="G5" s="5" t="inlineStr">
        <is>
          <t>MEATDELI [PRE] Thịt Sườn thăn (sườn non) (S)</t>
        </is>
      </c>
      <c r="H5" s="5" t="inlineStr">
        <is>
          <t>冷鲜</t>
        </is>
      </c>
      <c r="I5" s="7" t="n">
        <v>431</v>
      </c>
      <c r="J5" s="7" t="n">
        <v>124085</v>
      </c>
      <c r="K5" s="7" t="n">
        <v>287900</v>
      </c>
      <c r="L5" s="7" t="n"/>
      <c r="M5" s="7">
        <f>IF(L5&lt;&gt;"",L5,K5)</f>
        <v/>
      </c>
      <c r="N5" s="5" t="inlineStr">
        <is>
          <t>中：官方交易页，但尚未固定配送门店</t>
        </is>
      </c>
      <c r="O5" s="8" t="inlineStr">
        <is>
          <t>https://winmart.vn/products/meat-deli-sig-suon-than-suon-non--s10281593</t>
        </is>
      </c>
    </row>
    <row r="6" ht="32" customHeight="1">
      <c r="A6" s="5" t="inlineStr">
        <is>
          <t>全国渠道</t>
        </is>
      </c>
      <c r="B6" s="5" t="inlineStr">
        <is>
          <t>WinMart默认门店（待固定城市）</t>
        </is>
      </c>
      <c r="C6" s="5" t="inlineStr">
        <is>
          <t>WinMart</t>
        </is>
      </c>
      <c r="D6" s="5" t="inlineStr">
        <is>
          <t>Masan</t>
        </is>
      </c>
      <c r="E6" s="5" t="inlineStr">
        <is>
          <t>MEATDeli</t>
        </is>
      </c>
      <c r="F6" s="5" t="inlineStr">
        <is>
          <t>梅花肉</t>
        </is>
      </c>
      <c r="G6" s="5" t="inlineStr">
        <is>
          <t>MEATDELI Thịt Nạc dăm heo (Thịt Nạc vai) (S)</t>
        </is>
      </c>
      <c r="H6" s="5" t="inlineStr">
        <is>
          <t>冷鲜</t>
        </is>
      </c>
      <c r="I6" s="7" t="n">
        <v>400</v>
      </c>
      <c r="J6" s="7" t="n">
        <v>81960</v>
      </c>
      <c r="K6" s="7" t="n">
        <v>204900</v>
      </c>
      <c r="L6" s="7" t="n"/>
      <c r="M6" s="7">
        <f>IF(L6&lt;&gt;"",L6,K6)</f>
        <v/>
      </c>
      <c r="N6" s="5" t="inlineStr">
        <is>
          <t>中：官方交易页，但尚未固定配送门店</t>
        </is>
      </c>
      <c r="O6" s="8" t="inlineStr">
        <is>
          <t>https://winmart.vn/products/meat-deli-nac-dam-heo--s10617957</t>
        </is>
      </c>
    </row>
    <row r="7" ht="32" customHeight="1">
      <c r="A7" s="5" t="inlineStr">
        <is>
          <t>全国渠道</t>
        </is>
      </c>
      <c r="B7" s="5" t="inlineStr">
        <is>
          <t>WinMart默认门店（待固定城市）</t>
        </is>
      </c>
      <c r="C7" s="5" t="inlineStr">
        <is>
          <t>WinMart</t>
        </is>
      </c>
      <c r="D7" s="5" t="inlineStr">
        <is>
          <t>Masan</t>
        </is>
      </c>
      <c r="E7" s="5" t="inlineStr">
        <is>
          <t>MEATDeli</t>
        </is>
      </c>
      <c r="F7" s="5" t="inlineStr">
        <is>
          <t>五花肉</t>
        </is>
      </c>
      <c r="G7" s="5" t="inlineStr">
        <is>
          <t>MEATDELI Thịt Ba Rọi heo (S)</t>
        </is>
      </c>
      <c r="H7" s="5" t="inlineStr">
        <is>
          <t>冷鲜</t>
        </is>
      </c>
      <c r="I7" s="7" t="n">
        <v>385</v>
      </c>
      <c r="J7" s="7" t="n">
        <v>76962</v>
      </c>
      <c r="K7" s="7" t="n">
        <v>199900</v>
      </c>
      <c r="L7" s="7" t="n"/>
      <c r="M7" s="7">
        <f>IF(L7&lt;&gt;"",L7,K7)</f>
        <v/>
      </c>
      <c r="N7" s="5" t="inlineStr">
        <is>
          <t>中：官方交易页，但尚未固定配送门店</t>
        </is>
      </c>
      <c r="O7" s="8" t="inlineStr">
        <is>
          <t>https://winmart.vn/products/meat-deli-ba-roi-heo--s10617959</t>
        </is>
      </c>
    </row>
  </sheetData>
  <mergeCells count="2">
    <mergeCell ref="A1:O1"/>
    <mergeCell ref="A2:O2"/>
  </mergeCells>
  <conditionalFormatting sqref="M5:M7">
    <cfRule type="cellIs" priority="1" operator="lessThan" dxfId="0">
      <formula>150000</formula>
    </cfRule>
    <cfRule type="cellIs" priority="2" operator="greaterThanOrEqual" dxfId="1">
      <formula>220000</formula>
    </cfRule>
  </conditionalFormatting>
  <hyperlinks>
    <hyperlink xmlns:r="http://schemas.openxmlformats.org/officeDocument/2006/relationships" ref="O5" r:id="rId1"/>
    <hyperlink xmlns:r="http://schemas.openxmlformats.org/officeDocument/2006/relationships" ref="O6" r:id="rId2"/>
    <hyperlink xmlns:r="http://schemas.openxmlformats.org/officeDocument/2006/relationships" ref="O7" r:id="rId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16" customWidth="1" min="3" max="3"/>
    <col width="34" customWidth="1" min="4" max="4"/>
    <col width="12" customWidth="1" min="5" max="5"/>
    <col width="16" customWidth="1" min="6" max="6"/>
    <col width="16" customWidth="1" min="7" max="7"/>
    <col width="16" customWidth="1" min="8" max="8"/>
    <col width="14" customWidth="1" min="9" max="9"/>
    <col width="13" customWidth="1" min="10" max="10"/>
  </cols>
  <sheetData>
    <row r="1" ht="28" customHeight="1">
      <c r="A1" s="1" t="inlineStr">
        <is>
          <t>2026年9月同口径月度变化</t>
        </is>
      </c>
    </row>
    <row r="2" ht="34" customHeight="1">
      <c r="A2" s="2" t="inlineStr">
        <is>
          <t>只比较同一渠道、品牌、中文部位与门店口径；月初价为当月首个有效采集日。</t>
        </is>
      </c>
    </row>
    <row r="4">
      <c r="A4" s="3" t="inlineStr">
        <is>
          <t>渠道</t>
        </is>
      </c>
      <c r="B4" s="3" t="inlineStr">
        <is>
          <t>品牌</t>
        </is>
      </c>
      <c r="C4" s="3" t="inlineStr">
        <is>
          <t>部位</t>
        </is>
      </c>
      <c r="D4" s="3" t="inlineStr">
        <is>
          <t>门店口径</t>
        </is>
      </c>
      <c r="E4" s="3" t="inlineStr">
        <is>
          <t>有效天数</t>
        </is>
      </c>
      <c r="F4" s="3" t="inlineStr">
        <is>
          <t>月初/首日</t>
        </is>
      </c>
      <c r="G4" s="3" t="inlineStr">
        <is>
          <t>今日/最新</t>
        </is>
      </c>
      <c r="H4" s="3" t="inlineStr">
        <is>
          <t>月内中位数</t>
        </is>
      </c>
      <c r="I4" s="3" t="inlineStr">
        <is>
          <t>月变化</t>
        </is>
      </c>
      <c r="J4" s="3" t="inlineStr">
        <is>
          <t>判读</t>
        </is>
      </c>
    </row>
    <row r="5" ht="30" customHeight="1">
      <c r="A5" s="5" t="inlineStr">
        <is>
          <t>Kingfoodmart</t>
        </is>
      </c>
      <c r="B5" s="5" t="inlineStr">
        <is>
          <t>BAF</t>
        </is>
      </c>
      <c r="C5" s="5" t="inlineStr">
        <is>
          <t>梅花肉</t>
        </is>
      </c>
      <c r="D5" s="5" t="inlineStr">
        <is>
          <t>胡志明市/Kingfoodmart默认门店</t>
        </is>
      </c>
      <c r="E5" s="7" t="n">
        <v>14</v>
      </c>
      <c r="F5" s="7" t="n">
        <v>246667</v>
      </c>
      <c r="G5" s="7" t="n">
        <v>246667</v>
      </c>
      <c r="H5" s="7" t="n">
        <v>246667</v>
      </c>
      <c r="I5" s="9">
        <f>IF(E5&lt;2,"",G5/F5-1)</f>
        <v/>
      </c>
      <c r="J5" s="5">
        <f>IF(E5&lt;2,"积累中",IF(I5&gt;=0.01,"上涨",IF(I5&lt;=-0.01,"下降","平稳")))</f>
        <v/>
      </c>
    </row>
    <row r="6" ht="30" customHeight="1">
      <c r="A6" s="5" t="inlineStr">
        <is>
          <t>WinMart</t>
        </is>
      </c>
      <c r="B6" s="5" t="inlineStr">
        <is>
          <t>MEATDeli</t>
        </is>
      </c>
      <c r="C6" s="5" t="inlineStr">
        <is>
          <t>五花肉</t>
        </is>
      </c>
      <c r="D6" s="5" t="inlineStr">
        <is>
          <t>WinMart默认门店（待固定城市）</t>
        </is>
      </c>
      <c r="E6" s="7" t="n">
        <v>21</v>
      </c>
      <c r="F6" s="7" t="n">
        <v>199900</v>
      </c>
      <c r="G6" s="7" t="n">
        <v>199900</v>
      </c>
      <c r="H6" s="7" t="n">
        <v>199900</v>
      </c>
      <c r="I6" s="9">
        <f>IF(E6&lt;2,"",G6/F6-1)</f>
        <v/>
      </c>
      <c r="J6" s="5">
        <f>IF(E6&lt;2,"积累中",IF(I6&gt;=0.01,"上涨",IF(I6&lt;=-0.01,"下降","平稳")))</f>
        <v/>
      </c>
    </row>
    <row r="7" ht="30" customHeight="1">
      <c r="A7" s="5" t="inlineStr">
        <is>
          <t>WinMart</t>
        </is>
      </c>
      <c r="B7" s="5" t="inlineStr">
        <is>
          <t>MEATDeli</t>
        </is>
      </c>
      <c r="C7" s="5" t="inlineStr">
        <is>
          <t>小排</t>
        </is>
      </c>
      <c r="D7" s="5" t="inlineStr">
        <is>
          <t>WinMart默认门店（待固定城市）</t>
        </is>
      </c>
      <c r="E7" s="7" t="n">
        <v>23</v>
      </c>
      <c r="F7" s="7" t="n">
        <v>287900</v>
      </c>
      <c r="G7" s="7" t="n">
        <v>287900</v>
      </c>
      <c r="H7" s="7" t="n">
        <v>287900</v>
      </c>
      <c r="I7" s="9">
        <f>IF(E7&lt;2,"",G7/F7-1)</f>
        <v/>
      </c>
      <c r="J7" s="5">
        <f>IF(E7&lt;2,"积累中",IF(I7&gt;=0.01,"上涨",IF(I7&lt;=-0.01,"下降","平稳")))</f>
        <v/>
      </c>
    </row>
    <row r="8" ht="30" customHeight="1">
      <c r="A8" s="5" t="inlineStr">
        <is>
          <t>WinMart</t>
        </is>
      </c>
      <c r="B8" s="5" t="inlineStr">
        <is>
          <t>MEATDeli</t>
        </is>
      </c>
      <c r="C8" s="5" t="inlineStr">
        <is>
          <t>梅花肉</t>
        </is>
      </c>
      <c r="D8" s="5" t="inlineStr">
        <is>
          <t>WinMart默认门店（待固定城市）</t>
        </is>
      </c>
      <c r="E8" s="7" t="n">
        <v>16</v>
      </c>
      <c r="F8" s="7" t="n">
        <v>204900</v>
      </c>
      <c r="G8" s="7" t="n">
        <v>204900</v>
      </c>
      <c r="H8" s="7" t="n">
        <v>204900</v>
      </c>
      <c r="I8" s="9">
        <f>IF(E8&lt;2,"",G8/F8-1)</f>
        <v/>
      </c>
      <c r="J8" s="5">
        <f>IF(E8&lt;2,"积累中",IF(I8&gt;=0.01,"上涨",IF(I8&lt;=-0.01,"下降","平稳")))</f>
        <v/>
      </c>
    </row>
    <row r="9" ht="30" customHeight="1">
      <c r="A9" s="5" t="inlineStr">
        <is>
          <t>WinMart</t>
        </is>
      </c>
      <c r="B9" s="5" t="inlineStr">
        <is>
          <t>MEATDeli</t>
        </is>
      </c>
      <c r="C9" s="5" t="inlineStr">
        <is>
          <t>肩肉</t>
        </is>
      </c>
      <c r="D9" s="5" t="inlineStr">
        <is>
          <t>WinMart默认门店（待固定城市）</t>
        </is>
      </c>
      <c r="E9" s="7" t="n">
        <v>13</v>
      </c>
      <c r="F9" s="7" t="n">
        <v>168900</v>
      </c>
      <c r="G9" s="7" t="n">
        <v>168900</v>
      </c>
      <c r="H9" s="7" t="n">
        <v>168900</v>
      </c>
      <c r="I9" s="9">
        <f>IF(E9&lt;2,"",G9/F9-1)</f>
        <v/>
      </c>
      <c r="J9" s="5">
        <f>IF(E9&lt;2,"积累中",IF(I9&gt;=0.01,"上涨",IF(I9&lt;=-0.01,"下降","平稳")))</f>
        <v/>
      </c>
    </row>
    <row r="10" ht="30" customHeight="1">
      <c r="A10" s="5" t="inlineStr">
        <is>
          <t>Kingfoodmart</t>
        </is>
      </c>
      <c r="B10" s="5" t="inlineStr">
        <is>
          <t>Meatcool</t>
        </is>
      </c>
      <c r="C10" s="5" t="inlineStr">
        <is>
          <t>五花肉</t>
        </is>
      </c>
      <c r="D10" s="5" t="inlineStr">
        <is>
          <t>胡志明市/Kingfoodmart默认门店</t>
        </is>
      </c>
      <c r="E10" s="7" t="n">
        <v>11</v>
      </c>
      <c r="F10" s="7" t="n">
        <v>175555</v>
      </c>
      <c r="G10" s="7" t="n">
        <v>197500</v>
      </c>
      <c r="H10" s="7" t="n">
        <v>175555</v>
      </c>
      <c r="I10" s="9">
        <f>IF(E10&lt;2,"",G10/F10-1)</f>
        <v/>
      </c>
      <c r="J10" s="5">
        <f>IF(E10&lt;2,"积累中",IF(I10&gt;=0.01,"上涨",IF(I10&lt;=-0.01,"下降","平稳")))</f>
        <v/>
      </c>
    </row>
    <row r="11" ht="30" customHeight="1">
      <c r="A11" s="5" t="inlineStr">
        <is>
          <t>Kingfoodmart</t>
        </is>
      </c>
      <c r="B11" s="5" t="inlineStr">
        <is>
          <t>Meatcool</t>
        </is>
      </c>
      <c r="C11" s="5" t="inlineStr">
        <is>
          <t>后腿肉</t>
        </is>
      </c>
      <c r="D11" s="5" t="inlineStr">
        <is>
          <t>胡志明市/Kingfoodmart默认门店</t>
        </is>
      </c>
      <c r="E11" s="7" t="n">
        <v>20</v>
      </c>
      <c r="F11" s="7" t="n">
        <v>138889</v>
      </c>
      <c r="G11" s="7" t="n">
        <v>138889</v>
      </c>
      <c r="H11" s="7" t="n">
        <v>138889</v>
      </c>
      <c r="I11" s="9">
        <f>IF(E11&lt;2,"",G11/F11-1)</f>
        <v/>
      </c>
      <c r="J11" s="5">
        <f>IF(E11&lt;2,"积累中",IF(I11&gt;=0.01,"上涨",IF(I11&lt;=-0.01,"下降","平稳")))</f>
        <v/>
      </c>
    </row>
    <row r="12" ht="30" customHeight="1">
      <c r="A12" s="5" t="inlineStr">
        <is>
          <t>Kingfoodmart</t>
        </is>
      </c>
      <c r="B12" s="5" t="inlineStr">
        <is>
          <t>Meatcool</t>
        </is>
      </c>
      <c r="C12" s="5" t="inlineStr">
        <is>
          <t>梅花肉</t>
        </is>
      </c>
      <c r="D12" s="5" t="inlineStr">
        <is>
          <t>胡志明市/Kingfoodmart默认门店</t>
        </is>
      </c>
      <c r="E12" s="7" t="n">
        <v>14</v>
      </c>
      <c r="F12" s="7" t="n">
        <v>192100</v>
      </c>
      <c r="G12" s="7" t="n">
        <v>192100</v>
      </c>
      <c r="H12" s="7" t="n">
        <v>192100</v>
      </c>
      <c r="I12" s="9">
        <f>IF(E12&lt;2,"",G12/F12-1)</f>
        <v/>
      </c>
      <c r="J12" s="5">
        <f>IF(E12&lt;2,"积累中",IF(I12&gt;=0.01,"上涨",IF(I12&lt;=-0.01,"下降","平稳")))</f>
        <v/>
      </c>
    </row>
    <row r="13" ht="30" customHeight="1">
      <c r="A13" s="5" t="inlineStr">
        <is>
          <t>Kingfoodmart</t>
        </is>
      </c>
      <c r="B13" s="5" t="inlineStr">
        <is>
          <t>Meatcool</t>
        </is>
      </c>
      <c r="C13" s="5" t="inlineStr">
        <is>
          <t>猪排</t>
        </is>
      </c>
      <c r="D13" s="5" t="inlineStr">
        <is>
          <t>胡志明市/Kingfoodmart默认门店</t>
        </is>
      </c>
      <c r="E13" s="7" t="n">
        <v>21</v>
      </c>
      <c r="F13" s="7" t="n">
        <v>138889</v>
      </c>
      <c r="G13" s="7" t="n">
        <v>138889</v>
      </c>
      <c r="H13" s="7" t="n">
        <v>138889</v>
      </c>
      <c r="I13" s="9">
        <f>IF(E13&lt;2,"",G13/F13-1)</f>
        <v/>
      </c>
      <c r="J13" s="5">
        <f>IF(E13&lt;2,"积累中",IF(I13&gt;=0.01,"上涨",IF(I13&lt;=-0.01,"下降","平稳")))</f>
        <v/>
      </c>
    </row>
    <row r="14" ht="30" customHeight="1">
      <c r="A14" s="5" t="inlineStr">
        <is>
          <t>Kingfoodmart</t>
        </is>
      </c>
      <c r="B14" s="5" t="inlineStr">
        <is>
          <t>Vĩnh Tân</t>
        </is>
      </c>
      <c r="C14" s="5" t="inlineStr">
        <is>
          <t>后腿肉</t>
        </is>
      </c>
      <c r="D14" s="5" t="inlineStr">
        <is>
          <t>胡志明市/Kingfoodmart默认门店</t>
        </is>
      </c>
      <c r="E14" s="7" t="n">
        <v>12</v>
      </c>
      <c r="F14" s="7" t="n">
        <v>165000</v>
      </c>
      <c r="G14" s="7" t="n">
        <v>165000</v>
      </c>
      <c r="H14" s="7" t="n">
        <v>165000</v>
      </c>
      <c r="I14" s="9">
        <f>IF(E14&lt;2,"",G14/F14-1)</f>
        <v/>
      </c>
      <c r="J14" s="5">
        <f>IF(E14&lt;2,"积累中",IF(I14&gt;=0.01,"上涨",IF(I14&lt;=-0.01,"下降","平稳")))</f>
        <v/>
      </c>
    </row>
    <row r="15" ht="30" customHeight="1">
      <c r="A15" s="5" t="inlineStr">
        <is>
          <t>Kingfoodmart</t>
        </is>
      </c>
      <c r="B15" s="5" t="inlineStr">
        <is>
          <t>Vĩnh Tân</t>
        </is>
      </c>
      <c r="C15" s="5" t="inlineStr">
        <is>
          <t>梅花肉</t>
        </is>
      </c>
      <c r="D15" s="5" t="inlineStr">
        <is>
          <t>胡志明市/Kingfoodmart默认门店</t>
        </is>
      </c>
      <c r="E15" s="7" t="n">
        <v>14</v>
      </c>
      <c r="F15" s="7" t="n">
        <v>190000</v>
      </c>
      <c r="G15" s="7" t="n">
        <v>192500</v>
      </c>
      <c r="H15" s="7" t="n">
        <v>190000</v>
      </c>
      <c r="I15" s="9">
        <f>IF(E15&lt;2,"",G15/F15-1)</f>
        <v/>
      </c>
      <c r="J15" s="5">
        <f>IF(E15&lt;2,"积累中",IF(I15&gt;=0.01,"上涨",IF(I15&lt;=-0.01,"下降","平稳")))</f>
        <v/>
      </c>
    </row>
    <row r="16" ht="30" customHeight="1">
      <c r="A16" s="5" t="inlineStr">
        <is>
          <t>Kingfoodmart</t>
        </is>
      </c>
      <c r="B16" s="5" t="inlineStr">
        <is>
          <t>Vĩnh Tân</t>
        </is>
      </c>
      <c r="C16" s="5" t="inlineStr">
        <is>
          <t>猪排</t>
        </is>
      </c>
      <c r="D16" s="5" t="inlineStr">
        <is>
          <t>胡志明市/Kingfoodmart默认门店</t>
        </is>
      </c>
      <c r="E16" s="7" t="n">
        <v>14</v>
      </c>
      <c r="F16" s="7" t="n">
        <v>197500</v>
      </c>
      <c r="G16" s="7" t="n">
        <v>197500</v>
      </c>
      <c r="H16" s="7" t="n">
        <v>197500</v>
      </c>
      <c r="I16" s="9">
        <f>IF(E16&lt;2,"",G16/F16-1)</f>
        <v/>
      </c>
      <c r="J16" s="5">
        <f>IF(E16&lt;2,"积累中",IF(I16&gt;=0.01,"上涨",IF(I16&lt;=-0.01,"下降","平稳")))</f>
        <v/>
      </c>
    </row>
  </sheetData>
  <mergeCells count="2">
    <mergeCell ref="A1:J1"/>
    <mergeCell ref="A2:J2"/>
  </mergeCells>
  <conditionalFormatting sqref="I5:I16">
    <cfRule type="cellIs" priority="1" operator="greaterThanOrEqual" dxfId="1">
      <formula>0.01</formula>
    </cfRule>
    <cfRule type="cellIs" priority="2" operator="lessThanOrEqual" dxfId="0">
      <formula>-0.01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28" customWidth="1" min="3" max="3"/>
    <col width="42" customWidth="1" min="4" max="4"/>
    <col width="52" customWidth="1" min="5" max="5"/>
    <col width="70" customWidth="1" min="6" max="6"/>
  </cols>
  <sheetData>
    <row r="1" ht="28" customHeight="1">
      <c r="A1" s="1" t="inlineStr">
        <is>
          <t>来源、计算公式与数据质量</t>
        </is>
      </c>
    </row>
    <row r="2" ht="34" customHeight="1">
      <c r="A2" s="2" t="inlineStr">
        <is>
          <t>每一行保留商品原始链接；配送城市未固定时，可信度为中等，不能用于地区横向排序。</t>
        </is>
      </c>
    </row>
    <row r="4">
      <c r="A4" s="3" t="inlineStr">
        <is>
          <t>渠道</t>
        </is>
      </c>
      <c r="B4" s="3" t="inlineStr">
        <is>
          <t>企业/品牌</t>
        </is>
      </c>
      <c r="C4" s="3" t="inlineStr">
        <is>
          <t>数据类型</t>
        </is>
      </c>
      <c r="D4" s="3" t="inlineStr">
        <is>
          <t>价格计算</t>
        </is>
      </c>
      <c r="E4" s="3" t="inlineStr">
        <is>
          <t>核心限制</t>
        </is>
      </c>
      <c r="F4" s="3" t="inlineStr">
        <is>
          <t>公开链接</t>
        </is>
      </c>
    </row>
    <row r="5" ht="58" customHeight="1">
      <c r="A5" s="5" t="inlineStr">
        <is>
          <t>WinMart</t>
        </is>
      </c>
      <c r="B5" s="5" t="inlineStr">
        <is>
          <t>Masan / MEATDeli</t>
        </is>
      </c>
      <c r="C5" s="5" t="inlineStr">
        <is>
          <t>A-官方交易页</t>
        </is>
      </c>
      <c r="D5" s="5" t="inlineStr">
        <is>
          <t>实际价/kg = 促销价/kg（如有），否则常规价/kg；包装价÷重量(kg)用于交叉核验。</t>
        </is>
      </c>
      <c r="E5" s="5" t="inlineStr">
        <is>
          <t>中：官方交易页，但尚未固定配送门店</t>
        </is>
      </c>
      <c r="F5" s="8" t="inlineStr">
        <is>
          <t>https://winmart.vn/products/meat-deli-sig-suon-than-suon-non--s10281593</t>
        </is>
      </c>
    </row>
  </sheetData>
  <mergeCells count="2">
    <mergeCell ref="A2:F2"/>
    <mergeCell ref="A1:F1"/>
  </mergeCells>
  <hyperlinks>
    <hyperlink xmlns:r="http://schemas.openxmlformats.org/officeDocument/2006/relationships" ref="F5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2026-09-28T01:11:58Z</dcterms:created>
  <dcterms:modified xmlns:dcterms="http://purl.org/dc/terms/" xmlns:xsi="http://www.w3.org/2001/XMLSchema-instance" xsi:type="dcterms:W3CDTF">2026-09-28T01:11:58Z</dcterms:modified>
</cp:coreProperties>
</file>