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nac-dam-heo-vinh-tan-khay-200g" TargetMode="External" Id="rId4"/><Relationship Type="http://schemas.openxmlformats.org/officeDocument/2006/relationships/hyperlink" Target="https://kingfoodmart.com/thit-heo/nac-cot-let-cat-vinh-tan-khay-400g-1-khay" TargetMode="External" Id="rId5"/><Relationship Type="http://schemas.openxmlformats.org/officeDocument/2006/relationships/hyperlink" Target="https://kingfoodmart.com/thit-heo/nac-dui-heo-cat-xao-vinh-tan-khay-200g" TargetMode="External" Id="rId6"/><Relationship Type="http://schemas.openxmlformats.org/officeDocument/2006/relationships/hyperlink" Target="https://winmart.vn/products/meat-deli-nac-vai-heo-s--s10140279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nac-dam-heo--s10617957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越南猪肉零售价格日报｜2026-09-01</t>
        </is>
      </c>
    </row>
    <row r="2" ht="34" customHeight="1">
      <c r="A2" s="2" t="inlineStr">
        <is>
          <t>采集时间：越南时间 07:48。所有商品售价均统一折算为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梅花肉</t>
        </is>
      </c>
      <c r="G8" s="5" t="inlineStr">
        <is>
          <t>Nạc dăm heo Vĩnh Tân khay 200g</t>
        </is>
      </c>
      <c r="H8" s="5" t="inlineStr">
        <is>
          <t>冷鲜</t>
        </is>
      </c>
      <c r="I8" s="7" t="n">
        <v>200</v>
      </c>
      <c r="J8" s="7" t="n">
        <v>38000</v>
      </c>
      <c r="K8" s="7" t="n">
        <v>190000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https://kingfoodmart.com/thit-heo/nac-dam-heo-vinh-tan-khay-200g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猪排</t>
        </is>
      </c>
      <c r="G9" s="5" t="inlineStr">
        <is>
          <t>Nạc cốt lết cắt Vĩnh Tân khay 400g</t>
        </is>
      </c>
      <c r="H9" s="5" t="inlineStr">
        <is>
          <t>冷鲜</t>
        </is>
      </c>
      <c r="I9" s="7" t="n">
        <v>400</v>
      </c>
      <c r="J9" s="7" t="n">
        <v>79000</v>
      </c>
      <c r="K9" s="7" t="n">
        <v>197500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https://kingfoodmart.com/thit-heo/nac-cot-let-cat-vinh-tan-khay-400g-1-khay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后腿肉</t>
        </is>
      </c>
      <c r="G10" s="5" t="inlineStr">
        <is>
          <t>Nạc đùi heo cắt xào Vĩnh Tân khay 200g</t>
        </is>
      </c>
      <c r="H10" s="5" t="inlineStr">
        <is>
          <t>冷鲜</t>
        </is>
      </c>
      <c r="I10" s="7" t="n">
        <v>200</v>
      </c>
      <c r="J10" s="7" t="n">
        <v>33000</v>
      </c>
      <c r="K10" s="7" t="n">
        <v>165000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https://kingfoodmart.com/thit-heo/nac-dui-heo-cat-xao-vinh-tan-khay-200g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肩肉</t>
        </is>
      </c>
      <c r="G11" s="5" t="inlineStr">
        <is>
          <t>MEATDELI Thịt Nạc vai heo (S)</t>
        </is>
      </c>
      <c r="H11" s="5" t="inlineStr">
        <is>
          <t>冷鲜</t>
        </is>
      </c>
      <c r="I11" s="7" t="n">
        <v>440</v>
      </c>
      <c r="J11" s="7" t="n">
        <v>74316</v>
      </c>
      <c r="K11" s="7" t="n">
        <v>168900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https://winmart.vn/products/meat-deli-nac-vai-heo-s--s10140279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梅花肉</t>
        </is>
      </c>
      <c r="G13" s="5" t="inlineStr">
        <is>
          <t>MEATDELI Thịt Nạc dăm heo (Thịt Nạc vai) (S)</t>
        </is>
      </c>
      <c r="H13" s="5" t="inlineStr">
        <is>
          <t>冷鲜</t>
        </is>
      </c>
      <c r="I13" s="7" t="n">
        <v>400</v>
      </c>
      <c r="J13" s="7" t="n">
        <v>81960</v>
      </c>
      <c r="K13" s="7" t="n">
        <v>204900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https://winmart.vn/products/meat-deli-nac-dam-heo--s10617957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梅花肉</t>
        </is>
      </c>
      <c r="D11" s="5" t="inlineStr">
        <is>
          <t>胡志明市/Kingfoodmart默认门店</t>
        </is>
      </c>
      <c r="E11" s="7" t="n">
        <v>1</v>
      </c>
      <c r="F11" s="7" t="n">
        <v>192100</v>
      </c>
      <c r="G11" s="7" t="n">
        <v>192100</v>
      </c>
      <c r="H11" s="7" t="n">
        <v>192100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1</v>
      </c>
      <c r="F12" s="7" t="n">
        <v>165000</v>
      </c>
      <c r="G12" s="7" t="n">
        <v>165000</v>
      </c>
      <c r="H12" s="7" t="n">
        <v>165000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1</v>
      </c>
      <c r="F13" s="7" t="n">
        <v>190000</v>
      </c>
      <c r="G13" s="7" t="n">
        <v>190000</v>
      </c>
      <c r="H13" s="7" t="n">
        <v>190000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1</v>
      </c>
      <c r="F14" s="7" t="n">
        <v>197500</v>
      </c>
      <c r="G14" s="7" t="n">
        <v>197500</v>
      </c>
      <c r="H14" s="7" t="n">
        <v>197500</v>
      </c>
      <c r="I14" s="9">
        <f>IF(E14&lt;2,"",G14/F14-1)</f>
        <v/>
      </c>
      <c r="J14" s="5">
        <f>IF(E14&lt;2,"积累中",IF(I14&gt;=0.01,"上涨",IF(I14&lt;=-0.01,"下降","平稳")))</f>
        <v/>
      </c>
    </row>
  </sheetData>
  <mergeCells count="2">
    <mergeCell ref="A1:J1"/>
    <mergeCell ref="A2:J2"/>
  </mergeCells>
  <conditionalFormatting sqref="I5:I14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2026-09-01T00:48:07Z</dcterms:created>
  <dcterms:modified xmlns:dcterms="http://purl.org/dc/terms/" xmlns:xsi="http://www.w3.org/2001/XMLSchema-instance" xsi:type="dcterms:W3CDTF">2026-09-01T00:48:07Z</dcterms:modified>
</cp:coreProperties>
</file>